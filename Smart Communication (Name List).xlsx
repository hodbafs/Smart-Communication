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fs365-my.sharepoint.com/personal/110891_bafs_co_th/Documents/Thanakrit (Mann)/Man's Project/04062026/smart-communication-web/"/>
    </mc:Choice>
  </mc:AlternateContent>
  <xr:revisionPtr revIDLastSave="15" documentId="13_ncr:1_{D2F81EEA-AEBA-41EC-8D78-D10F11A77425}" xr6:coauthVersionLast="47" xr6:coauthVersionMax="47" xr10:uidLastSave="{882915D0-93C2-384B-9541-6A2F152E186C}"/>
  <bookViews>
    <workbookView xWindow="0" yWindow="660" windowWidth="29400" windowHeight="18460" activeTab="3" xr2:uid="{664E44AA-61A7-45FC-8DBB-813104BB7265}"/>
  </bookViews>
  <sheets>
    <sheet name="Sheet1" sheetId="1" state="hidden" r:id="rId1"/>
    <sheet name="Onboard Seating" sheetId="24" state="hidden" r:id="rId2"/>
    <sheet name="Full Namelist JRP" sheetId="12" state="hidden" r:id="rId3"/>
    <sheet name="Smart Communication" sheetId="13" r:id="rId4"/>
    <sheet name="Namelist (2)" sheetId="4" state="hidden" r:id="rId5"/>
  </sheets>
  <externalReferences>
    <externalReference r:id="rId6"/>
  </externalReferences>
  <definedNames>
    <definedName name="_xlnm._FilterDatabase" localSheetId="2" hidden="1">'Full Namelist JRP'!$A$2:$O$41</definedName>
    <definedName name="_xlnm._FilterDatabase" localSheetId="4" hidden="1">'Namelist (2)'!$A$2:$O$42</definedName>
    <definedName name="_xlnm._FilterDatabase" localSheetId="1" hidden="1">'Onboard Seating'!$A$1:$G$49</definedName>
    <definedName name="_xlnm._FilterDatabase" localSheetId="3" hidden="1">'Smart Communication'!$A$2:$F$33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2" l="1"/>
  <c r="E25" i="12"/>
  <c r="E21" i="12"/>
  <c r="E19" i="12"/>
  <c r="E17" i="12"/>
  <c r="E16" i="12"/>
  <c r="E31" i="4" l="1"/>
  <c r="E30" i="4"/>
  <c r="E29" i="4"/>
  <c r="E26" i="4"/>
  <c r="E25" i="4"/>
  <c r="E24" i="4"/>
  <c r="E23" i="4"/>
  <c r="E20" i="4"/>
  <c r="E18" i="4"/>
  <c r="O17" i="4"/>
  <c r="E17" i="4"/>
  <c r="O16" i="4"/>
  <c r="E17" i="1" l="1" a="1"/>
  <c r="E18" i="1" a="1"/>
  <c r="E16" i="1" a="1"/>
  <c r="E18" i="1" l="1"/>
  <c r="E17" i="1"/>
  <c r="E1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<sst xmlns="http://schemas.openxmlformats.org/spreadsheetml/2006/main" count="1393" uniqueCount="311">
  <si>
    <t>รายชื่อผู้เข้าอบรมหลักสูตรField Trip KBTG
วันที่ 9 กรกฎาคม 2568</t>
  </si>
  <si>
    <t>ลำดับ</t>
  </si>
  <si>
    <t>Column1</t>
  </si>
  <si>
    <t>Group</t>
  </si>
  <si>
    <t>Name</t>
  </si>
  <si>
    <t>Surname</t>
  </si>
  <si>
    <t>Position</t>
  </si>
  <si>
    <t>Level</t>
  </si>
  <si>
    <t>Type</t>
  </si>
  <si>
    <t>Dept.</t>
  </si>
  <si>
    <t>Company</t>
  </si>
  <si>
    <t>PI</t>
  </si>
  <si>
    <t>Age</t>
  </si>
  <si>
    <t>Service years</t>
  </si>
  <si>
    <t>Jaruwan (HZ)</t>
  </si>
  <si>
    <t>Talent</t>
  </si>
  <si>
    <t>Jaruwan</t>
  </si>
  <si>
    <t>Panyarakkit</t>
  </si>
  <si>
    <t>Purchasing Manager</t>
  </si>
  <si>
    <t>Manager</t>
  </si>
  <si>
    <t>Office</t>
  </si>
  <si>
    <t>HZ</t>
  </si>
  <si>
    <t>BAFS</t>
  </si>
  <si>
    <t>Specialist</t>
  </si>
  <si>
    <t>Somjai (AZ)</t>
  </si>
  <si>
    <t>Somjai</t>
  </si>
  <si>
    <t>Vanitsunthorn</t>
  </si>
  <si>
    <t>Aviation Refueling Foreman</t>
  </si>
  <si>
    <t>Foreman</t>
  </si>
  <si>
    <t>Operation</t>
  </si>
  <si>
    <t>AZ</t>
  </si>
  <si>
    <t>Guardian</t>
  </si>
  <si>
    <t>Anusak (AZ)</t>
  </si>
  <si>
    <t>Anusak</t>
  </si>
  <si>
    <t>Sukkree</t>
  </si>
  <si>
    <t>Idividualist</t>
  </si>
  <si>
    <t>Sathaporn (AZ)</t>
  </si>
  <si>
    <t>Sathaporn</t>
  </si>
  <si>
    <t>Moungbun</t>
  </si>
  <si>
    <t>Analyzer</t>
  </si>
  <si>
    <t>Siraprapa (TARCO)</t>
  </si>
  <si>
    <t>Siraprapa</t>
  </si>
  <si>
    <t>Kanavapee</t>
  </si>
  <si>
    <t xml:space="preserve">Officer (Secretary to Assistant Managing Director) </t>
  </si>
  <si>
    <t>MD</t>
  </si>
  <si>
    <t>TARCO</t>
  </si>
  <si>
    <t>Operator</t>
  </si>
  <si>
    <t>Nut (BPT-PZ)</t>
  </si>
  <si>
    <t>Nut</t>
  </si>
  <si>
    <t>Sangsawang</t>
  </si>
  <si>
    <t>Supervisor</t>
  </si>
  <si>
    <t>PZ</t>
  </si>
  <si>
    <t>BPT-PZ</t>
  </si>
  <si>
    <t>1. Narawut (DZ)</t>
  </si>
  <si>
    <t>Narawut</t>
  </si>
  <si>
    <t>Petchanuan</t>
  </si>
  <si>
    <t>C/R &amp; Maintenance Foreman</t>
  </si>
  <si>
    <t>DZ</t>
  </si>
  <si>
    <t>2. Ruengwith (MQ)</t>
  </si>
  <si>
    <t>Ruengwith</t>
  </si>
  <si>
    <t>Artvichai</t>
  </si>
  <si>
    <t>Safety, Security and Occ. Health Manager</t>
  </si>
  <si>
    <t>MQ</t>
  </si>
  <si>
    <t>Scholar</t>
  </si>
  <si>
    <t>3. Apisak (RZ)</t>
  </si>
  <si>
    <t>Apisak</t>
  </si>
  <si>
    <t>Kweinthong</t>
  </si>
  <si>
    <t>DMK Depot Foreman</t>
  </si>
  <si>
    <t>RZ</t>
  </si>
  <si>
    <t>Venturer</t>
  </si>
  <si>
    <t>4. Chayanit (TZ)</t>
  </si>
  <si>
    <t>Chayanit</t>
  </si>
  <si>
    <t>Sookavari</t>
  </si>
  <si>
    <t>Quality Control Foreman</t>
  </si>
  <si>
    <t>TZ</t>
  </si>
  <si>
    <t>Captain</t>
  </si>
  <si>
    <t>5. On-anong (TZ)</t>
  </si>
  <si>
    <t>On-anong</t>
  </si>
  <si>
    <t>Kusolpitukcheep</t>
  </si>
  <si>
    <t>Quality Control Manager</t>
  </si>
  <si>
    <t>6. Nuthawat (BPT-TZ)</t>
  </si>
  <si>
    <t>Nuthawat</t>
  </si>
  <si>
    <t>Karnchanapa</t>
  </si>
  <si>
    <t xml:space="preserve">Supervisor (Engineer)  </t>
  </si>
  <si>
    <t>7. Pongtep (BC)</t>
  </si>
  <si>
    <t>Pongtep</t>
  </si>
  <si>
    <t>Kwansirichai</t>
  </si>
  <si>
    <t>Deputy Manager</t>
  </si>
  <si>
    <t>Technical</t>
  </si>
  <si>
    <t>BC</t>
  </si>
  <si>
    <t>8. Sittiphat (MG)</t>
  </si>
  <si>
    <t>Sittiphat</t>
  </si>
  <si>
    <t>9. Nuttawan (MQ)</t>
  </si>
  <si>
    <t>Nuttawan</t>
  </si>
  <si>
    <t>10. Kanoknok (BC)</t>
  </si>
  <si>
    <t>Kanoknok</t>
  </si>
  <si>
    <t>11. Phatramon (BPT)</t>
  </si>
  <si>
    <t>Phatramon</t>
  </si>
  <si>
    <t>MS</t>
  </si>
  <si>
    <t>Management</t>
  </si>
  <si>
    <t>EM</t>
  </si>
  <si>
    <t>Chaiwut</t>
  </si>
  <si>
    <t>SC</t>
  </si>
  <si>
    <t>Anchisa (วา)</t>
  </si>
  <si>
    <t>Anchisa</t>
  </si>
  <si>
    <t>Nutcha</t>
  </si>
  <si>
    <t>Game</t>
  </si>
  <si>
    <t>Thaninrada</t>
  </si>
  <si>
    <t>Nuttapong</t>
  </si>
  <si>
    <t>Montree</t>
  </si>
  <si>
    <t>Anuchit</t>
  </si>
  <si>
    <t>Premjit</t>
  </si>
  <si>
    <t>Damrongsak</t>
  </si>
  <si>
    <t>Leela</t>
  </si>
  <si>
    <t>Tanawit</t>
  </si>
  <si>
    <t>E-mail</t>
  </si>
  <si>
    <t>jaruwan@bafs.co.th</t>
  </si>
  <si>
    <t>somjai@bafs.co.th</t>
  </si>
  <si>
    <t>anusak@bafs.co.th</t>
  </si>
  <si>
    <t>sathaporn_m@bafs.co.th</t>
  </si>
  <si>
    <t>nut.s@bpt.co.th</t>
  </si>
  <si>
    <t>narawut@bafs.co.th</t>
  </si>
  <si>
    <t>Ruengwith_a@bafs.co.th</t>
  </si>
  <si>
    <t>apisak@bafs.co.th</t>
  </si>
  <si>
    <t>chayanit@bafs.co.th</t>
  </si>
  <si>
    <t>onanong@bafs.co.th</t>
  </si>
  <si>
    <t>nuthawat.k@bpt.co.th</t>
  </si>
  <si>
    <t>Sitthipat</t>
  </si>
  <si>
    <t>Preedawan</t>
  </si>
  <si>
    <t>sitthipat.p@bafs.co.th</t>
  </si>
  <si>
    <t>Nilapong</t>
  </si>
  <si>
    <t>nuttawan@bafs.co.th</t>
  </si>
  <si>
    <t>Ayuvatthana</t>
  </si>
  <si>
    <t>kanoknok@bafscleanenergy.com</t>
  </si>
  <si>
    <t>Praphaweekorn</t>
  </si>
  <si>
    <t>phatramon.p@bpt.co.th</t>
  </si>
  <si>
    <t>Panita</t>
  </si>
  <si>
    <t>Promnart</t>
  </si>
  <si>
    <t>Katecharin</t>
  </si>
  <si>
    <t>Khangrit</t>
  </si>
  <si>
    <t>Nathasit</t>
  </si>
  <si>
    <t>Diskul</t>
  </si>
  <si>
    <t>Suwanna</t>
  </si>
  <si>
    <t>Faktim</t>
  </si>
  <si>
    <t>suwanna@bafs.co.th</t>
  </si>
  <si>
    <t>Kanit</t>
  </si>
  <si>
    <t>Seetong</t>
  </si>
  <si>
    <t>Yuphadee</t>
  </si>
  <si>
    <t>Tongaroonsri</t>
  </si>
  <si>
    <t>Jaisung</t>
  </si>
  <si>
    <t>chaiwut@bafs.co.th</t>
  </si>
  <si>
    <t>Riengrach</t>
  </si>
  <si>
    <t>Munkongtanatip</t>
  </si>
  <si>
    <t>thaninrada@bafs.co.th</t>
  </si>
  <si>
    <t>Ladlongmuang</t>
  </si>
  <si>
    <t>montree_l@bafs.co.th</t>
  </si>
  <si>
    <t>Sangnoual</t>
  </si>
  <si>
    <t>anuchit@bafs.co.th</t>
  </si>
  <si>
    <t>Chitakon</t>
  </si>
  <si>
    <t>Prasomsi</t>
  </si>
  <si>
    <t>Chitakon@bafs.co.th</t>
  </si>
  <si>
    <t>Teerakan</t>
  </si>
  <si>
    <t>Hnurit</t>
  </si>
  <si>
    <t>Kanyawee</t>
  </si>
  <si>
    <t>Boonprakone</t>
  </si>
  <si>
    <t>kanyawee.b@bafs.co.th</t>
  </si>
  <si>
    <t>Natnaree</t>
  </si>
  <si>
    <t>Tangeiam</t>
  </si>
  <si>
    <t>natnaree@bafs.co.th</t>
  </si>
  <si>
    <t>Wongwekhin</t>
  </si>
  <si>
    <t>game@bafs.co.th</t>
  </si>
  <si>
    <t>Ritthiphon</t>
  </si>
  <si>
    <t>Wenanont</t>
  </si>
  <si>
    <t>ritthiphon@bafs.co.th</t>
  </si>
  <si>
    <t>Kootchuchuen</t>
  </si>
  <si>
    <t>premjit@bafs.co.th</t>
  </si>
  <si>
    <t>Gedkhuntod</t>
  </si>
  <si>
    <t>leela.g@bafs.co.th</t>
  </si>
  <si>
    <t>Sasiyaporn</t>
  </si>
  <si>
    <t>Riangsanthia</t>
  </si>
  <si>
    <t>sasiyaporn.r@bafs.co.th</t>
  </si>
  <si>
    <t>Tanin</t>
  </si>
  <si>
    <t>Noyjoy</t>
  </si>
  <si>
    <t>tanin@tarco.co.th</t>
  </si>
  <si>
    <t>Id</t>
  </si>
  <si>
    <t>Sukapattee</t>
  </si>
  <si>
    <t>Function</t>
  </si>
  <si>
    <t>Status</t>
  </si>
  <si>
    <t>Support</t>
  </si>
  <si>
    <t>BPT</t>
  </si>
  <si>
    <t>Engineer</t>
  </si>
  <si>
    <t>Corporate Risk Management Manager</t>
  </si>
  <si>
    <t>MG</t>
  </si>
  <si>
    <t>Management System Manager</t>
  </si>
  <si>
    <t>Office of CEO</t>
  </si>
  <si>
    <t>Senior Marketing &amp; Customer Relation Manager</t>
  </si>
  <si>
    <t>BZ</t>
  </si>
  <si>
    <t>Boss</t>
  </si>
  <si>
    <t>Quality Safety Health and Environment Director</t>
  </si>
  <si>
    <t>Director</t>
  </si>
  <si>
    <t>Director - Suvarnabhumi Airport Depot</t>
  </si>
  <si>
    <t>Director - Suvarnabhumi Aviation Refuelling</t>
  </si>
  <si>
    <t>Director - Donmueang &amp; Regional Airport</t>
  </si>
  <si>
    <t>Anawat</t>
  </si>
  <si>
    <t>Kiatfuengfoo</t>
  </si>
  <si>
    <t xml:space="preserve">Rachanok </t>
  </si>
  <si>
    <t>Sa-nguansub</t>
  </si>
  <si>
    <t>Deputy</t>
  </si>
  <si>
    <t>Sutaphat</t>
  </si>
  <si>
    <t>Madisara</t>
  </si>
  <si>
    <t>Winyu</t>
  </si>
  <si>
    <t>Yongsuebchat</t>
  </si>
  <si>
    <t>Bancha</t>
  </si>
  <si>
    <t>Gongthong</t>
  </si>
  <si>
    <t>Wirun</t>
  </si>
  <si>
    <t>Suwanno</t>
  </si>
  <si>
    <t>Guntapon</t>
  </si>
  <si>
    <t>Mahanonda</t>
  </si>
  <si>
    <t>Jade</t>
  </si>
  <si>
    <t>Tupiya </t>
  </si>
  <si>
    <t>Strategy and Sustainability Director</t>
  </si>
  <si>
    <t>President</t>
  </si>
  <si>
    <t>Managing Director</t>
  </si>
  <si>
    <t>BPS</t>
  </si>
  <si>
    <t>BI</t>
  </si>
  <si>
    <t xml:space="preserve">Chakri </t>
  </si>
  <si>
    <t>Tepkasetkul</t>
  </si>
  <si>
    <t>Kijthavornw</t>
  </si>
  <si>
    <t>Sumkaeo</t>
  </si>
  <si>
    <t>Niyamanusorn</t>
  </si>
  <si>
    <t>HR BAFS Group</t>
  </si>
  <si>
    <t>Worawee</t>
  </si>
  <si>
    <t>Suriyathamrongkul</t>
  </si>
  <si>
    <t>Jittimaporn</t>
  </si>
  <si>
    <t>Khumchoo</t>
  </si>
  <si>
    <t>Panchalee</t>
  </si>
  <si>
    <t>Charndhanu</t>
  </si>
  <si>
    <t>Alisa</t>
  </si>
  <si>
    <t>Wannakasem</t>
  </si>
  <si>
    <t>Chann</t>
  </si>
  <si>
    <t>Chunchom</t>
  </si>
  <si>
    <t>Premrudee</t>
  </si>
  <si>
    <t>Ninkong</t>
  </si>
  <si>
    <t>Tippawan</t>
  </si>
  <si>
    <t>Iamwongsa</t>
  </si>
  <si>
    <t>Staff</t>
  </si>
  <si>
    <t xml:space="preserve">Thanakrit </t>
  </si>
  <si>
    <t>Nimidhathai</t>
  </si>
  <si>
    <t>Wachiraporn</t>
  </si>
  <si>
    <t>Rungruang</t>
  </si>
  <si>
    <t xml:space="preserve">Vareerut </t>
  </si>
  <si>
    <t>Vangthaphan</t>
  </si>
  <si>
    <t>Krittiya</t>
  </si>
  <si>
    <t>Chalermtiragool</t>
  </si>
  <si>
    <t>Sangduan</t>
  </si>
  <si>
    <t>Tipworapong</t>
  </si>
  <si>
    <t>Prapavadee</t>
  </si>
  <si>
    <t>Kanasuwan</t>
  </si>
  <si>
    <t>Generation</t>
  </si>
  <si>
    <t>Manager - Suvarnabhumi Airport Depot</t>
  </si>
  <si>
    <t>Gen Y</t>
  </si>
  <si>
    <t xml:space="preserve">20 yr. up </t>
  </si>
  <si>
    <t>5 - 10 yr.</t>
  </si>
  <si>
    <t>10 -15 yr.</t>
  </si>
  <si>
    <t>Manager - Donmueang Aviation Refuelling</t>
  </si>
  <si>
    <t>Gen X</t>
  </si>
  <si>
    <t>Manager - Suvarnabhumi Aviation Refuelling</t>
  </si>
  <si>
    <t>Pioneer</t>
  </si>
  <si>
    <t>15 - 20 yr.</t>
  </si>
  <si>
    <t>1-5 yr.</t>
  </si>
  <si>
    <t>Adapter</t>
  </si>
  <si>
    <t>Maintenance Foreman</t>
  </si>
  <si>
    <t>Gen Z</t>
  </si>
  <si>
    <t>Deputy Director - Suvarnabhumi Airport Depot</t>
  </si>
  <si>
    <t>Deputy director</t>
  </si>
  <si>
    <t>Persuader</t>
  </si>
  <si>
    <t>Artisan</t>
  </si>
  <si>
    <t>Manager – Regional Airport</t>
  </si>
  <si>
    <t>Tae</t>
  </si>
  <si>
    <t>Climate Strategy Officer</t>
  </si>
  <si>
    <t>Altruist</t>
  </si>
  <si>
    <t>Aviation &amp; Flight Planning Specialist</t>
  </si>
  <si>
    <t>Stock Accountant</t>
  </si>
  <si>
    <t>Satitdamrongthum</t>
  </si>
  <si>
    <t>Legal Manager</t>
  </si>
  <si>
    <t>Thongpan</t>
  </si>
  <si>
    <t>Strategy Manager</t>
  </si>
  <si>
    <t>Namelist Smart Communication 2026</t>
  </si>
  <si>
    <t>List</t>
  </si>
  <si>
    <t>Kanyawee (มุก)</t>
  </si>
  <si>
    <t>Climate Disclosure Analyst</t>
  </si>
  <si>
    <t>Secretary to Donmueang &amp; Regional Airport Director</t>
  </si>
  <si>
    <t>Suvarnabhumi Airport Depot Foreman</t>
  </si>
  <si>
    <t>5 m.</t>
  </si>
  <si>
    <t>&lt; 1 Yrs.</t>
  </si>
  <si>
    <t>Suthinee</t>
  </si>
  <si>
    <t>Suwanchaisakul</t>
  </si>
  <si>
    <t>Internal Audit Manager</t>
  </si>
  <si>
    <t>MI</t>
  </si>
  <si>
    <t>10m.</t>
  </si>
  <si>
    <t>Aroonkamon</t>
  </si>
  <si>
    <t>Pensopee</t>
  </si>
  <si>
    <t>Namelist Outward Mindset 2026</t>
  </si>
  <si>
    <t>Entry Date</t>
  </si>
  <si>
    <t>BAFS Group Academy Officer</t>
  </si>
  <si>
    <t>EC</t>
  </si>
  <si>
    <t>teerakan.h@bafsservices.co.th</t>
  </si>
  <si>
    <t>No.</t>
  </si>
  <si>
    <t>siraprapa@tarco.co.th</t>
  </si>
  <si>
    <t>PI Profiles</t>
  </si>
  <si>
    <t>Collaborator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</si>
</sst>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b/>
      <sz val="16"/>
      <color theme="1" tint="4.9989318521683403E-2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sz val="14"/>
      <color theme="1"/>
      <name val="Browallia New"/>
      <family val="2"/>
    </font>
    <font>
      <u/>
      <sz val="14"/>
      <color theme="1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b/>
      <sz val="18"/>
      <color theme="1"/>
      <name val="TH Sarabun New"/>
      <family val="2"/>
    </font>
    <font>
      <sz val="14"/>
      <color rgb="FF000000"/>
      <name val="TH Sarabun New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808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top"/>
    </xf>
    <xf numFmtId="0" fontId="3" fillId="3" borderId="6" xfId="1" applyFont="1" applyFill="1" applyBorder="1" applyAlignment="1">
      <alignment horizontal="left" vertical="top"/>
    </xf>
    <xf numFmtId="0" fontId="3" fillId="3" borderId="7" xfId="1" applyFont="1" applyFill="1" applyBorder="1" applyAlignment="1">
      <alignment horizontal="left" vertical="top"/>
    </xf>
    <xf numFmtId="0" fontId="3" fillId="3" borderId="8" xfId="1" applyFont="1" applyFill="1" applyBorder="1" applyAlignment="1">
      <alignment vertical="top"/>
    </xf>
    <xf numFmtId="0" fontId="3" fillId="3" borderId="8" xfId="1" applyFont="1" applyFill="1" applyBorder="1" applyAlignment="1">
      <alignment horizontal="center" vertical="top"/>
    </xf>
    <xf numFmtId="0" fontId="3" fillId="3" borderId="9" xfId="1" applyFont="1" applyFill="1" applyBorder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3" fillId="4" borderId="14" xfId="0" applyFont="1" applyFill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3" borderId="8" xfId="1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center" vertical="top"/>
    </xf>
    <xf numFmtId="49" fontId="3" fillId="3" borderId="7" xfId="1" applyNumberFormat="1" applyFont="1" applyFill="1" applyBorder="1" applyAlignment="1">
      <alignment horizontal="left" vertical="top"/>
    </xf>
    <xf numFmtId="0" fontId="3" fillId="3" borderId="8" xfId="1" applyFont="1" applyFill="1" applyBorder="1" applyAlignment="1">
      <alignment vertical="top" wrapText="1"/>
    </xf>
    <xf numFmtId="0" fontId="3" fillId="3" borderId="7" xfId="1" applyFont="1" applyFill="1" applyBorder="1" applyAlignment="1">
      <alignment horizontal="center" vertical="top"/>
    </xf>
    <xf numFmtId="49" fontId="3" fillId="3" borderId="11" xfId="1" applyNumberFormat="1" applyFont="1" applyFill="1" applyBorder="1" applyAlignment="1">
      <alignment horizontal="left" vertical="top"/>
    </xf>
    <xf numFmtId="0" fontId="3" fillId="3" borderId="10" xfId="1" applyFont="1" applyFill="1" applyBorder="1" applyAlignment="1">
      <alignment horizontal="center" vertical="top"/>
    </xf>
    <xf numFmtId="0" fontId="3" fillId="3" borderId="7" xfId="1" applyFont="1" applyFill="1" applyBorder="1" applyAlignment="1">
      <alignment vertical="top"/>
    </xf>
    <xf numFmtId="0" fontId="3" fillId="3" borderId="10" xfId="1" applyFont="1" applyFill="1" applyBorder="1" applyAlignment="1">
      <alignment vertical="top"/>
    </xf>
    <xf numFmtId="0" fontId="3" fillId="3" borderId="12" xfId="1" applyFont="1" applyFill="1" applyBorder="1" applyAlignment="1">
      <alignment horizontal="left" vertical="top"/>
    </xf>
    <xf numFmtId="0" fontId="3" fillId="3" borderId="12" xfId="1" applyFont="1" applyFill="1" applyBorder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2" fillId="4" borderId="4" xfId="0" applyFont="1" applyFill="1" applyBorder="1" applyAlignment="1">
      <alignment horizontal="center" vertical="top"/>
    </xf>
    <xf numFmtId="0" fontId="3" fillId="3" borderId="11" xfId="1" applyFont="1" applyFill="1" applyBorder="1" applyAlignment="1">
      <alignment horizontal="left" vertical="top"/>
    </xf>
    <xf numFmtId="0" fontId="3" fillId="3" borderId="13" xfId="1" applyFont="1" applyFill="1" applyBorder="1" applyAlignment="1">
      <alignment vertical="top"/>
    </xf>
    <xf numFmtId="0" fontId="3" fillId="3" borderId="13" xfId="1" applyFont="1" applyFill="1" applyBorder="1" applyAlignment="1">
      <alignment horizontal="center" vertical="top"/>
    </xf>
    <xf numFmtId="0" fontId="3" fillId="3" borderId="11" xfId="1" applyFont="1" applyFill="1" applyBorder="1" applyAlignment="1">
      <alignment horizontal="center" vertical="top"/>
    </xf>
    <xf numFmtId="0" fontId="3" fillId="3" borderId="11" xfId="1" applyFont="1" applyFill="1" applyBorder="1" applyAlignment="1">
      <alignment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2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left" vertical="center"/>
    </xf>
    <xf numFmtId="14" fontId="7" fillId="0" borderId="15" xfId="0" applyNumberFormat="1" applyFont="1" applyBorder="1"/>
    <xf numFmtId="0" fontId="8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7" borderId="0" xfId="0" applyFont="1" applyFill="1"/>
    <xf numFmtId="0" fontId="5" fillId="3" borderId="0" xfId="0" applyFont="1" applyFill="1"/>
    <xf numFmtId="0" fontId="5" fillId="8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5" fillId="0" borderId="0" xfId="0" quotePrefix="1" applyFont="1" applyAlignment="1">
      <alignment horizontal="center"/>
    </xf>
    <xf numFmtId="0" fontId="6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6" fillId="10" borderId="16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15" xfId="0" applyFont="1" applyFill="1" applyBorder="1"/>
    <xf numFmtId="0" fontId="5" fillId="11" borderId="15" xfId="0" applyFont="1" applyFill="1" applyBorder="1" applyAlignment="1">
      <alignment horizontal="center"/>
    </xf>
    <xf numFmtId="0" fontId="9" fillId="3" borderId="15" xfId="0" applyFont="1" applyFill="1" applyBorder="1"/>
    <xf numFmtId="0" fontId="5" fillId="12" borderId="15" xfId="0" applyFont="1" applyFill="1" applyBorder="1" applyAlignment="1">
      <alignment horizontal="center"/>
    </xf>
    <xf numFmtId="0" fontId="5" fillId="13" borderId="15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6" fillId="9" borderId="15" xfId="0" applyFont="1" applyFill="1" applyBorder="1" applyAlignment="1">
      <alignment horizontal="center"/>
    </xf>
    <xf numFmtId="0" fontId="5" fillId="0" borderId="15" xfId="0" applyFont="1" applyBorder="1"/>
    <xf numFmtId="0" fontId="9" fillId="0" borderId="15" xfId="0" applyFont="1" applyBorder="1"/>
    <xf numFmtId="0" fontId="9" fillId="0" borderId="1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1" fillId="10" borderId="3" xfId="0" applyFont="1" applyFill="1" applyBorder="1" applyAlignment="1">
      <alignment horizontal="center" vertical="center"/>
    </xf>
    <xf numFmtId="0" fontId="11" fillId="10" borderId="17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B7414274-50C3-4AAE-8A51-0699C326A7BC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6"/>
        <name val="TH Sarabun New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6"/>
        <name val="TH Sarabun New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top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auto="1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6"/>
        <name val="TH Sarabun New"/>
        <family val="2"/>
        <scheme val="none"/>
      </font>
      <fill>
        <patternFill patternType="solid">
          <fgColor rgb="FF000000"/>
          <bgColor theme="0"/>
        </patternFill>
      </fill>
      <alignment vertical="top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 tint="4.9989318521683403E-2"/>
        <name val="TH Sarabun New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fs365.sharepoint.com/sites/BAFS-HZ-BAFS-HOD/Shared%20Documents/BAFS-HOD/05_Talent/Talent_2025/20250110_Talent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Talent"/>
      <sheetName val="Sheet1"/>
    </sheetNames>
    <sheetDataSet>
      <sheetData sheetId="0">
        <row r="1">
          <cell r="F1" t="str">
            <v>First Name (EN)</v>
          </cell>
          <cell r="G1" t="str">
            <v>Last Name (EN)</v>
          </cell>
        </row>
        <row r="2">
          <cell r="F2" t="str">
            <v>Kanit</v>
          </cell>
          <cell r="G2" t="str">
            <v>Seetong</v>
          </cell>
        </row>
        <row r="3">
          <cell r="F3" t="str">
            <v>Chakri</v>
          </cell>
          <cell r="G3" t="str">
            <v>Tepkasetkul</v>
          </cell>
        </row>
        <row r="4">
          <cell r="F4" t="str">
            <v>Suwanna</v>
          </cell>
          <cell r="G4" t="str">
            <v>Faktim</v>
          </cell>
        </row>
        <row r="5">
          <cell r="F5" t="str">
            <v>Gritt</v>
          </cell>
          <cell r="G5" t="str">
            <v>Madisara</v>
          </cell>
        </row>
        <row r="6">
          <cell r="F6" t="str">
            <v>Jaksanit</v>
          </cell>
          <cell r="G6" t="str">
            <v>Kritsaadjai</v>
          </cell>
        </row>
        <row r="7">
          <cell r="F7" t="str">
            <v>Sophaphan</v>
          </cell>
          <cell r="G7" t="str">
            <v>Ruatreo</v>
          </cell>
        </row>
        <row r="8">
          <cell r="F8" t="str">
            <v>Pich</v>
          </cell>
          <cell r="G8" t="str">
            <v>Phanomvan Na Ayudhya</v>
          </cell>
        </row>
        <row r="9">
          <cell r="F9" t="str">
            <v>Theerata</v>
          </cell>
          <cell r="G9" t="str">
            <v>Thornjaroensri</v>
          </cell>
        </row>
        <row r="10">
          <cell r="F10" t="str">
            <v>Rawinda</v>
          </cell>
          <cell r="G10" t="str">
            <v>Punnahitanon</v>
          </cell>
        </row>
        <row r="11">
          <cell r="F11" t="str">
            <v>Rachanok</v>
          </cell>
          <cell r="G11" t="str">
            <v>Sa-nguansub</v>
          </cell>
        </row>
        <row r="12">
          <cell r="F12" t="str">
            <v>Anawat</v>
          </cell>
          <cell r="G12" t="str">
            <v>Kiatfuengfoo</v>
          </cell>
        </row>
        <row r="13">
          <cell r="F13" t="str">
            <v>Wirun</v>
          </cell>
          <cell r="G13" t="str">
            <v>Suwanno</v>
          </cell>
        </row>
        <row r="14">
          <cell r="F14" t="str">
            <v>Prapaporn</v>
          </cell>
          <cell r="G14" t="str">
            <v>Proybamrung</v>
          </cell>
        </row>
        <row r="15">
          <cell r="F15" t="str">
            <v>Katecharin</v>
          </cell>
          <cell r="G15" t="str">
            <v>Khangrit</v>
          </cell>
        </row>
        <row r="16">
          <cell r="F16" t="str">
            <v>Panita</v>
          </cell>
          <cell r="G16" t="str">
            <v>Promnart</v>
          </cell>
        </row>
        <row r="17">
          <cell r="F17" t="str">
            <v>Noppadon</v>
          </cell>
          <cell r="G17" t="str">
            <v>Musigavatee</v>
          </cell>
        </row>
        <row r="18">
          <cell r="F18" t="str">
            <v>Yuphadee</v>
          </cell>
          <cell r="G18" t="str">
            <v>Tongaroonsri</v>
          </cell>
        </row>
        <row r="19">
          <cell r="F19" t="str">
            <v>Nattapol</v>
          </cell>
          <cell r="G19" t="str">
            <v>Narkuam</v>
          </cell>
        </row>
        <row r="20">
          <cell r="F20" t="str">
            <v>Prakasit</v>
          </cell>
          <cell r="G20" t="str">
            <v>Somyanontanakul</v>
          </cell>
        </row>
        <row r="21">
          <cell r="F21" t="str">
            <v>Netnapa</v>
          </cell>
          <cell r="G21" t="str">
            <v>Sansamart</v>
          </cell>
        </row>
        <row r="22">
          <cell r="F22" t="str">
            <v>Nipat</v>
          </cell>
          <cell r="G22" t="str">
            <v>Boonsri</v>
          </cell>
        </row>
        <row r="23">
          <cell r="F23" t="str">
            <v>Kampon</v>
          </cell>
          <cell r="G23" t="str">
            <v>Chulert</v>
          </cell>
        </row>
        <row r="24">
          <cell r="F24" t="str">
            <v>Udomporn</v>
          </cell>
          <cell r="G24" t="str">
            <v>Putsri</v>
          </cell>
        </row>
        <row r="25">
          <cell r="F25" t="str">
            <v xml:space="preserve">Surawit </v>
          </cell>
          <cell r="G25" t="str">
            <v>Yuangmanee</v>
          </cell>
        </row>
        <row r="26">
          <cell r="F26" t="str">
            <v xml:space="preserve">Jade </v>
          </cell>
          <cell r="G26" t="str">
            <v>Tupiya</v>
          </cell>
        </row>
        <row r="27">
          <cell r="F27" t="str">
            <v xml:space="preserve">Worawee </v>
          </cell>
          <cell r="G27" t="str">
            <v>Suriyathamrongkul</v>
          </cell>
        </row>
        <row r="28">
          <cell r="F28" t="str">
            <v xml:space="preserve">Phipoom </v>
          </cell>
          <cell r="G28" t="str">
            <v>Arttawang</v>
          </cell>
        </row>
        <row r="29">
          <cell r="F29" t="str">
            <v xml:space="preserve">Nathara </v>
          </cell>
          <cell r="G29" t="str">
            <v>Tharasawetkul</v>
          </cell>
        </row>
        <row r="30">
          <cell r="F30" t="str">
            <v>Id</v>
          </cell>
          <cell r="G30" t="str">
            <v>Sukapattee</v>
          </cell>
        </row>
        <row r="31">
          <cell r="F31" t="str">
            <v xml:space="preserve">Sutaphat </v>
          </cell>
          <cell r="G31" t="str">
            <v>Madisara</v>
          </cell>
        </row>
        <row r="32">
          <cell r="F32" t="str">
            <v>Chitakon</v>
          </cell>
          <cell r="G32" t="str">
            <v>Prasomsi</v>
          </cell>
        </row>
        <row r="33">
          <cell r="F33" t="str">
            <v>Pakasit</v>
          </cell>
          <cell r="G33" t="str">
            <v>Promnim</v>
          </cell>
        </row>
        <row r="34">
          <cell r="F34" t="str">
            <v>Atthapong</v>
          </cell>
          <cell r="G34" t="str">
            <v>Dissanont</v>
          </cell>
        </row>
        <row r="35">
          <cell r="F35" t="str">
            <v>Nuttapong</v>
          </cell>
          <cell r="G35" t="str">
            <v>Kijthavornwatana</v>
          </cell>
        </row>
        <row r="36">
          <cell r="F36" t="str">
            <v>Damrongsak</v>
          </cell>
          <cell r="G36" t="str">
            <v>Satitdamrongthum</v>
          </cell>
        </row>
        <row r="37">
          <cell r="F37" t="str">
            <v>Sumkaeo</v>
          </cell>
          <cell r="G37" t="str">
            <v>Niyamanusorn</v>
          </cell>
        </row>
        <row r="38">
          <cell r="F38" t="str">
            <v>Avinan</v>
          </cell>
          <cell r="G38" t="str">
            <v>Sa-ard-dee</v>
          </cell>
        </row>
        <row r="39">
          <cell r="F39" t="str">
            <v>Tunh</v>
          </cell>
          <cell r="G39" t="str">
            <v>Madisara</v>
          </cell>
        </row>
        <row r="40">
          <cell r="F40" t="str">
            <v>Junthartip</v>
          </cell>
          <cell r="G40" t="str">
            <v>Taimee</v>
          </cell>
        </row>
        <row r="41">
          <cell r="F41" t="str">
            <v xml:space="preserve">Tassanee </v>
          </cell>
          <cell r="G41" t="str">
            <v>Leechaisathaporn</v>
          </cell>
        </row>
        <row r="42">
          <cell r="F42" t="str">
            <v>Game</v>
          </cell>
          <cell r="G42" t="str">
            <v>Wongwekhin</v>
          </cell>
        </row>
        <row r="43">
          <cell r="F43" t="str">
            <v>Jaruk</v>
          </cell>
          <cell r="G43" t="str">
            <v>Phuakprasert</v>
          </cell>
        </row>
        <row r="44">
          <cell r="F44" t="str">
            <v>Ritthiphon</v>
          </cell>
          <cell r="G44" t="str">
            <v>Wenanont</v>
          </cell>
        </row>
        <row r="45">
          <cell r="F45" t="str">
            <v>Watcharachai</v>
          </cell>
          <cell r="G45" t="str">
            <v>Poolsomboonpon</v>
          </cell>
        </row>
        <row r="46">
          <cell r="F46" t="str">
            <v>Theparak</v>
          </cell>
          <cell r="G46" t="str">
            <v>Phimpha</v>
          </cell>
        </row>
        <row r="47">
          <cell r="F47" t="str">
            <v>Prasert</v>
          </cell>
          <cell r="G47" t="str">
            <v>Mueangta</v>
          </cell>
        </row>
        <row r="48">
          <cell r="F48" t="str">
            <v>Kampanart</v>
          </cell>
          <cell r="G48" t="str">
            <v>Kaewmaneewan</v>
          </cell>
        </row>
        <row r="49">
          <cell r="F49" t="str">
            <v>Bundit</v>
          </cell>
          <cell r="G49" t="str">
            <v>Sangthong</v>
          </cell>
        </row>
        <row r="50">
          <cell r="F50" t="str">
            <v>Nuttawut</v>
          </cell>
          <cell r="G50" t="str">
            <v>Kongseat</v>
          </cell>
        </row>
        <row r="51">
          <cell r="F51" t="str">
            <v>Wisoot</v>
          </cell>
          <cell r="G51" t="str">
            <v>Changsawai</v>
          </cell>
        </row>
        <row r="52">
          <cell r="F52" t="str">
            <v>Sathaporn</v>
          </cell>
          <cell r="G52" t="str">
            <v>Moungbun</v>
          </cell>
        </row>
        <row r="53">
          <cell r="F53" t="str">
            <v>Somjai</v>
          </cell>
          <cell r="G53" t="str">
            <v>Vanitsunthorn</v>
          </cell>
        </row>
        <row r="54">
          <cell r="F54" t="str">
            <v>Komsan</v>
          </cell>
          <cell r="G54" t="str">
            <v>Khrutjaikla</v>
          </cell>
        </row>
        <row r="55">
          <cell r="F55" t="str">
            <v>Narawut</v>
          </cell>
          <cell r="G55" t="str">
            <v>Petchanuan</v>
          </cell>
        </row>
        <row r="56">
          <cell r="F56" t="str">
            <v>Pornnubpun</v>
          </cell>
          <cell r="G56" t="str">
            <v>Sudtakoo</v>
          </cell>
        </row>
        <row r="57">
          <cell r="F57" t="str">
            <v>Kongpop</v>
          </cell>
          <cell r="G57" t="str">
            <v>Katawaytitatham</v>
          </cell>
        </row>
        <row r="58">
          <cell r="F58" t="str">
            <v>Sangduan</v>
          </cell>
          <cell r="G58" t="str">
            <v>Tipworapong</v>
          </cell>
        </row>
        <row r="59">
          <cell r="F59" t="str">
            <v>Jaruwan</v>
          </cell>
          <cell r="G59" t="str">
            <v>Panyarakkit</v>
          </cell>
        </row>
        <row r="60">
          <cell r="F60" t="str">
            <v>Ruengwith</v>
          </cell>
          <cell r="G60" t="str">
            <v>Artvichai</v>
          </cell>
        </row>
        <row r="61">
          <cell r="F61" t="str">
            <v>Nuttawan</v>
          </cell>
          <cell r="G61" t="str">
            <v>Nilapong</v>
          </cell>
        </row>
        <row r="62">
          <cell r="F62" t="str">
            <v>Thaninrada</v>
          </cell>
          <cell r="G62" t="str">
            <v>Munkongtanatip</v>
          </cell>
        </row>
        <row r="63">
          <cell r="F63" t="str">
            <v>Teerakan</v>
          </cell>
          <cell r="G63" t="str">
            <v>Hnurit</v>
          </cell>
        </row>
        <row r="64">
          <cell r="F64" t="str">
            <v>Nopporn</v>
          </cell>
          <cell r="G64" t="str">
            <v>Muanmai</v>
          </cell>
        </row>
        <row r="65">
          <cell r="F65" t="str">
            <v>Apisak</v>
          </cell>
          <cell r="G65" t="str">
            <v>Kweinthong</v>
          </cell>
        </row>
        <row r="66">
          <cell r="F66" t="str">
            <v>Chayanit</v>
          </cell>
          <cell r="G66" t="str">
            <v>Sookavari</v>
          </cell>
        </row>
        <row r="67">
          <cell r="F67" t="str">
            <v>On-anong</v>
          </cell>
          <cell r="G67" t="str">
            <v>Kusolpitukcheep</v>
          </cell>
        </row>
        <row r="68">
          <cell r="F68" t="str">
            <v>Atitaya</v>
          </cell>
          <cell r="G68" t="str">
            <v>Chaiyabut</v>
          </cell>
        </row>
        <row r="69">
          <cell r="F69" t="str">
            <v xml:space="preserve">Tanach  </v>
          </cell>
          <cell r="G69" t="str">
            <v>Shingrissiri</v>
          </cell>
        </row>
        <row r="70">
          <cell r="F70" t="str">
            <v xml:space="preserve">Thanawat </v>
          </cell>
          <cell r="G70" t="str">
            <v>Techakunchaiyanant</v>
          </cell>
        </row>
        <row r="71">
          <cell r="F71" t="str">
            <v xml:space="preserve">Mongkol </v>
          </cell>
          <cell r="G71" t="str">
            <v>Weingsong</v>
          </cell>
        </row>
        <row r="72">
          <cell r="F72" t="str">
            <v xml:space="preserve">Nirut </v>
          </cell>
          <cell r="G72" t="str">
            <v>Wongnan</v>
          </cell>
        </row>
        <row r="73">
          <cell r="F73" t="str">
            <v xml:space="preserve">Suranan </v>
          </cell>
          <cell r="G73" t="str">
            <v>Kasakun</v>
          </cell>
        </row>
        <row r="74">
          <cell r="F74" t="str">
            <v xml:space="preserve">Warid </v>
          </cell>
          <cell r="G74" t="str">
            <v>Intachai</v>
          </cell>
        </row>
        <row r="75">
          <cell r="F75" t="str">
            <v xml:space="preserve">Pakorn </v>
          </cell>
          <cell r="G75" t="str">
            <v>Wanthong</v>
          </cell>
        </row>
        <row r="76">
          <cell r="F76" t="str">
            <v xml:space="preserve">Sunaiporn </v>
          </cell>
          <cell r="G76" t="str">
            <v>Phongjit</v>
          </cell>
        </row>
        <row r="77">
          <cell r="F77" t="str">
            <v xml:space="preserve">Panyamol </v>
          </cell>
          <cell r="G77" t="str">
            <v>Gradwong</v>
          </cell>
        </row>
        <row r="78">
          <cell r="F78" t="str">
            <v>Siraprapa</v>
          </cell>
          <cell r="G78" t="str">
            <v xml:space="preserve"> Kanavapee</v>
          </cell>
        </row>
        <row r="79">
          <cell r="F79" t="str">
            <v xml:space="preserve">Sununtha </v>
          </cell>
          <cell r="G79" t="str">
            <v>Phumsrithon</v>
          </cell>
        </row>
        <row r="80">
          <cell r="F80" t="str">
            <v xml:space="preserve">Sutthavee </v>
          </cell>
          <cell r="G80" t="str">
            <v>Yothinruangrong</v>
          </cell>
        </row>
        <row r="81">
          <cell r="F81" t="str">
            <v xml:space="preserve">Thanyaphorn </v>
          </cell>
          <cell r="G81" t="str">
            <v>Dornpon</v>
          </cell>
        </row>
        <row r="82">
          <cell r="F82" t="str">
            <v xml:space="preserve">Anon </v>
          </cell>
          <cell r="G82" t="str">
            <v>Amadtad</v>
          </cell>
        </row>
        <row r="83">
          <cell r="F83" t="str">
            <v xml:space="preserve">Chusak </v>
          </cell>
          <cell r="G83" t="str">
            <v>Chuchaiya</v>
          </cell>
        </row>
        <row r="84">
          <cell r="F84" t="str">
            <v xml:space="preserve">Jirayu </v>
          </cell>
          <cell r="G84" t="str">
            <v>Janjumsri</v>
          </cell>
        </row>
        <row r="85">
          <cell r="F85" t="str">
            <v xml:space="preserve">Kitipong </v>
          </cell>
          <cell r="G85" t="str">
            <v>Kumchoo</v>
          </cell>
        </row>
        <row r="86">
          <cell r="F86" t="str">
            <v xml:space="preserve">Nut </v>
          </cell>
          <cell r="G86" t="str">
            <v>Sangsawang</v>
          </cell>
        </row>
        <row r="87">
          <cell r="F87" t="str">
            <v>Phongphan</v>
          </cell>
          <cell r="G87" t="str">
            <v xml:space="preserve"> Sukglum</v>
          </cell>
        </row>
        <row r="88">
          <cell r="F88" t="str">
            <v xml:space="preserve">Pornnimit </v>
          </cell>
          <cell r="G88" t="str">
            <v>Saipan</v>
          </cell>
        </row>
        <row r="89">
          <cell r="F89" t="str">
            <v xml:space="preserve">Pornthep </v>
          </cell>
          <cell r="G89" t="str">
            <v>KongKaew</v>
          </cell>
        </row>
        <row r="90">
          <cell r="F90" t="str">
            <v xml:space="preserve">Somporn </v>
          </cell>
          <cell r="G90" t="str">
            <v>Yooprasert</v>
          </cell>
        </row>
        <row r="91">
          <cell r="F91" t="str">
            <v>Suphat</v>
          </cell>
          <cell r="G91" t="str">
            <v xml:space="preserve"> Srisupha</v>
          </cell>
        </row>
        <row r="92">
          <cell r="F92" t="str">
            <v xml:space="preserve">Wutipong </v>
          </cell>
          <cell r="G92" t="str">
            <v>Meychom</v>
          </cell>
        </row>
        <row r="93">
          <cell r="F93" t="str">
            <v xml:space="preserve">Chinawon </v>
          </cell>
          <cell r="G93" t="str">
            <v>Harprhmson</v>
          </cell>
        </row>
        <row r="94">
          <cell r="F94" t="str">
            <v xml:space="preserve">Matee </v>
          </cell>
          <cell r="G94" t="str">
            <v>Phothaisong</v>
          </cell>
        </row>
        <row r="95">
          <cell r="F95" t="str">
            <v xml:space="preserve">Nopphadol </v>
          </cell>
          <cell r="G95" t="str">
            <v>Nakrongproh</v>
          </cell>
        </row>
        <row r="96">
          <cell r="F96" t="str">
            <v xml:space="preserve">Nuthawat </v>
          </cell>
          <cell r="G96" t="str">
            <v>Karnchanapa</v>
          </cell>
        </row>
        <row r="97">
          <cell r="F97" t="str">
            <v xml:space="preserve">Phapassorn </v>
          </cell>
          <cell r="G97" t="str">
            <v>Rueangwatthanasin</v>
          </cell>
        </row>
        <row r="98">
          <cell r="F98" t="str">
            <v xml:space="preserve">Prasert </v>
          </cell>
          <cell r="G98" t="str">
            <v>Buahlai</v>
          </cell>
        </row>
        <row r="99">
          <cell r="F99" t="str">
            <v xml:space="preserve">Supot  </v>
          </cell>
          <cell r="G99" t="str">
            <v>Kaewsutthi</v>
          </cell>
        </row>
        <row r="100">
          <cell r="F100" t="str">
            <v>Bootsabong</v>
          </cell>
          <cell r="G100" t="str">
            <v>Duangprathum</v>
          </cell>
        </row>
        <row r="101">
          <cell r="F101" t="str">
            <v>Chan</v>
          </cell>
          <cell r="G101" t="str">
            <v>Chunchom</v>
          </cell>
        </row>
        <row r="102">
          <cell r="F102" t="str">
            <v xml:space="preserve">Radanut </v>
          </cell>
          <cell r="G102" t="str">
            <v>Nanthiwatthana</v>
          </cell>
        </row>
        <row r="103">
          <cell r="F103" t="str">
            <v>Thanathit</v>
          </cell>
          <cell r="G103" t="str">
            <v>Ardharn</v>
          </cell>
        </row>
        <row r="104">
          <cell r="F104" t="str">
            <v xml:space="preserve">Prayoon  </v>
          </cell>
          <cell r="G104" t="str">
            <v>Somchue</v>
          </cell>
        </row>
        <row r="105">
          <cell r="F105" t="str">
            <v xml:space="preserve">Tanin  </v>
          </cell>
          <cell r="G105" t="str">
            <v>Noyjoy</v>
          </cell>
        </row>
        <row r="106">
          <cell r="F106" t="str">
            <v>Rawin</v>
          </cell>
          <cell r="G106" t="str">
            <v>Sarachit</v>
          </cell>
        </row>
        <row r="107">
          <cell r="F107" t="str">
            <v xml:space="preserve">Thanawat </v>
          </cell>
          <cell r="G107" t="str">
            <v>Thothong</v>
          </cell>
        </row>
        <row r="108">
          <cell r="F108" t="str">
            <v xml:space="preserve">Thongchai </v>
          </cell>
          <cell r="G108" t="str">
            <v>Duangprathum</v>
          </cell>
        </row>
        <row r="109">
          <cell r="F109" t="str">
            <v xml:space="preserve">Weranun </v>
          </cell>
          <cell r="G109" t="str">
            <v>Muangprathom</v>
          </cell>
        </row>
        <row r="110">
          <cell r="F110" t="str">
            <v>Suchart</v>
          </cell>
          <cell r="G110" t="str">
            <v>Ruksawong</v>
          </cell>
        </row>
        <row r="111">
          <cell r="F111" t="str">
            <v>Saengduan</v>
          </cell>
          <cell r="G111" t="str">
            <v>Laophadungveth</v>
          </cell>
        </row>
        <row r="112">
          <cell r="F112" t="str">
            <v>Chaiwut</v>
          </cell>
          <cell r="G112" t="str">
            <v>Jaisung</v>
          </cell>
        </row>
        <row r="113">
          <cell r="F113" t="str">
            <v xml:space="preserve">Phatramon </v>
          </cell>
          <cell r="G113" t="str">
            <v>Praphaweekorn</v>
          </cell>
        </row>
        <row r="114">
          <cell r="F114" t="str">
            <v>Kannika</v>
          </cell>
          <cell r="G114" t="str">
            <v>Patrajarukul</v>
          </cell>
        </row>
        <row r="115">
          <cell r="F115" t="str">
            <v>Punorn</v>
          </cell>
          <cell r="G115" t="str">
            <v>Chatchawanpun</v>
          </cell>
        </row>
        <row r="116">
          <cell r="F116" t="str">
            <v>Natkamol</v>
          </cell>
          <cell r="G116" t="str">
            <v>Kaewpunna</v>
          </cell>
        </row>
        <row r="117">
          <cell r="F117" t="str">
            <v>Kosum</v>
          </cell>
          <cell r="G117" t="str">
            <v>Ritdee</v>
          </cell>
        </row>
        <row r="118">
          <cell r="F118" t="str">
            <v>Bantita</v>
          </cell>
          <cell r="G118" t="str">
            <v>Wudtichad</v>
          </cell>
        </row>
        <row r="119">
          <cell r="F119" t="str">
            <v>Nipon</v>
          </cell>
          <cell r="G119" t="str">
            <v>Pongpanich</v>
          </cell>
        </row>
        <row r="120">
          <cell r="F120" t="str">
            <v>Nutnatee</v>
          </cell>
          <cell r="G120" t="str">
            <v>Sirimuangmool</v>
          </cell>
        </row>
        <row r="121">
          <cell r="F121" t="str">
            <v>Pairtubtim</v>
          </cell>
          <cell r="G121" t="str">
            <v>Khumkaew</v>
          </cell>
        </row>
        <row r="122">
          <cell r="F122" t="str">
            <v>Panchalee</v>
          </cell>
          <cell r="G122" t="str">
            <v>Charndhanu</v>
          </cell>
        </row>
        <row r="123">
          <cell r="F123" t="str">
            <v>Kanoknok</v>
          </cell>
          <cell r="G123" t="str">
            <v>Ayuvatthana</v>
          </cell>
        </row>
        <row r="124">
          <cell r="F124" t="str">
            <v>Chattida</v>
          </cell>
          <cell r="G124" t="str">
            <v>Aimsavang</v>
          </cell>
        </row>
        <row r="125">
          <cell r="F125" t="str">
            <v>Chalarat</v>
          </cell>
          <cell r="G125" t="str">
            <v>Sanguankijpattana</v>
          </cell>
        </row>
        <row r="126">
          <cell r="F126" t="str">
            <v>Pongtep</v>
          </cell>
          <cell r="G126" t="str">
            <v>Kwansirichai</v>
          </cell>
        </row>
        <row r="127">
          <cell r="F127" t="str">
            <v>Anchana</v>
          </cell>
          <cell r="G127" t="str">
            <v>Panyasuttakul</v>
          </cell>
        </row>
        <row r="128">
          <cell r="F128" t="str">
            <v>Voravalan</v>
          </cell>
          <cell r="G128" t="str">
            <v>Matateeranan</v>
          </cell>
        </row>
        <row r="129">
          <cell r="F129" t="str">
            <v>Patipat</v>
          </cell>
          <cell r="G129" t="str">
            <v>Chantra</v>
          </cell>
        </row>
        <row r="130">
          <cell r="F130" t="str">
            <v>Guntapon</v>
          </cell>
          <cell r="G130" t="str">
            <v>Mahanonda</v>
          </cell>
        </row>
      </sheetData>
      <sheetData sheetId="1"/>
      <sheetData sheetId="2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39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3AE49-5D30-4963-9A9C-37BF142FBF88}" name="Table142356789" displayName="Table142356789" ref="A2:M42" totalsRowShown="0" headerRowDxfId="23" dataDxfId="21" headerRowBorderDxfId="22" tableBorderDxfId="20">
  <autoFilter ref="A2:M42" xr:uid="{BD03AE49-5D30-4963-9A9C-37BF142FBF88}"/>
  <tableColumns count="13">
    <tableColumn id="1" xr3:uid="{9408E3DA-DC06-43F5-9112-EA9567A8E6E9}" name="ลำดับ" dataDxfId="19" dataCellStyle="Normal 3"/>
    <tableColumn id="11" xr3:uid="{C85AF588-2741-4AC3-BDDF-6F1005528640}" name="Column1" dataDxfId="18" dataCellStyle="Normal 3"/>
    <tableColumn id="8" xr3:uid="{C71345BC-5CDC-42EC-9AE1-AA743002121C}" name="Group" dataDxfId="17" dataCellStyle="Normal 3"/>
    <tableColumn id="2" xr3:uid="{DFE3BA0C-91C0-440F-85DC-B1DD4A69A1C6}" name="Name" dataDxfId="16" dataCellStyle="Normal 3"/>
    <tableColumn id="3" xr3:uid="{DDFA0DC4-A01D-4C0A-9519-078F1390E726}" name="Surname" dataDxfId="15" dataCellStyle="Normal 3"/>
    <tableColumn id="4" xr3:uid="{547512DC-DC4F-4D2B-A7C7-875FE0165B9A}" name="Position" dataDxfId="14" dataCellStyle="Normal 3"/>
    <tableColumn id="12" xr3:uid="{282702B9-E067-44F8-A843-36F073C0C42B}" name="Level" dataDxfId="13" dataCellStyle="Normal 3"/>
    <tableColumn id="5" xr3:uid="{3C8F016A-4706-4A48-90DA-818970374590}" name="Type" dataDxfId="12" dataCellStyle="Normal 3"/>
    <tableColumn id="14" xr3:uid="{D746CCA3-F20D-4C00-8FAC-D113AABC8904}" name="Dept." dataDxfId="11" dataCellStyle="Normal 3"/>
    <tableColumn id="6" xr3:uid="{64B1C5E0-C1F2-4E83-BB4B-E12DDF330138}" name="Company" dataDxfId="10" dataCellStyle="Normal 3"/>
    <tableColumn id="10" xr3:uid="{8332C926-5777-4F7B-BD1F-7A7D23BC14D5}" name="PI" dataDxfId="9" dataCellStyle="Normal 3"/>
    <tableColumn id="9" xr3:uid="{CDC27AEA-7027-4312-8661-C41FCE9BE7C3}" name="Age" dataDxfId="8"/>
    <tableColumn id="13" xr3:uid="{021C7060-8C2E-4C25-88C8-C1FFB0F17706}" name="Service year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iraprapa@tarco.co.th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C1B7-A42E-43F9-93D0-8465CFD1DCBB}">
  <dimension ref="A1:M43"/>
  <sheetViews>
    <sheetView zoomScale="80" zoomScaleNormal="80" workbookViewId="0">
      <selection sqref="A1:XFD1048576"/>
    </sheetView>
  </sheetViews>
  <sheetFormatPr baseColWidth="10" defaultColWidth="8.1640625" defaultRowHeight="20"/>
  <cols>
    <col min="1" max="1" width="8.1640625" style="1"/>
    <col min="2" max="2" width="24.5" style="1" customWidth="1"/>
    <col min="3" max="3" width="14.5" style="7" customWidth="1"/>
    <col min="4" max="4" width="12.1640625" style="1" bestFit="1" customWidth="1"/>
    <col min="5" max="5" width="15.5" style="1" bestFit="1" customWidth="1"/>
    <col min="6" max="6" width="29.83203125" style="1" customWidth="1"/>
    <col min="7" max="7" width="20.83203125" style="7" bestFit="1" customWidth="1"/>
    <col min="8" max="8" width="16.1640625" style="7" customWidth="1"/>
    <col min="9" max="9" width="16.1640625" style="1" customWidth="1"/>
    <col min="10" max="10" width="14.1640625" style="7" customWidth="1"/>
    <col min="11" max="11" width="16.1640625" style="7" customWidth="1"/>
    <col min="12" max="12" width="10.1640625" style="7" bestFit="1" customWidth="1"/>
    <col min="13" max="13" width="11.5" style="1" customWidth="1"/>
    <col min="14" max="16384" width="8.1640625" style="1"/>
  </cols>
  <sheetData>
    <row r="1" spans="1:13" ht="35.25" customHeight="1">
      <c r="A1" s="11" t="s">
        <v>0</v>
      </c>
      <c r="B1" s="11"/>
      <c r="C1" s="11"/>
      <c r="D1" s="11"/>
      <c r="E1" s="11"/>
      <c r="F1" s="11"/>
      <c r="G1" s="11"/>
      <c r="H1" s="10"/>
      <c r="I1" s="11"/>
      <c r="J1" s="11"/>
      <c r="K1" s="11"/>
      <c r="L1" s="10"/>
      <c r="M1" s="11"/>
    </row>
    <row r="2" spans="1:13" ht="44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5" t="s">
        <v>11</v>
      </c>
      <c r="L2" s="6" t="s">
        <v>12</v>
      </c>
      <c r="M2" s="12" t="s">
        <v>13</v>
      </c>
    </row>
    <row r="3" spans="1:13" s="21" customFormat="1">
      <c r="A3" s="13">
        <v>1</v>
      </c>
      <c r="B3" s="14" t="s">
        <v>14</v>
      </c>
      <c r="C3" s="13" t="s">
        <v>15</v>
      </c>
      <c r="D3" s="14" t="s">
        <v>16</v>
      </c>
      <c r="E3" s="15" t="s">
        <v>17</v>
      </c>
      <c r="F3" s="16" t="s">
        <v>18</v>
      </c>
      <c r="G3" s="17" t="s">
        <v>19</v>
      </c>
      <c r="H3" s="17" t="s">
        <v>20</v>
      </c>
      <c r="I3" s="18" t="s">
        <v>21</v>
      </c>
      <c r="J3" s="18" t="s">
        <v>22</v>
      </c>
      <c r="K3" s="17" t="s">
        <v>23</v>
      </c>
      <c r="L3" s="19">
        <v>43</v>
      </c>
      <c r="M3" s="20">
        <v>19</v>
      </c>
    </row>
    <row r="4" spans="1:13" s="21" customFormat="1">
      <c r="A4" s="17">
        <v>2</v>
      </c>
      <c r="B4" s="22" t="s">
        <v>24</v>
      </c>
      <c r="C4" s="17" t="s">
        <v>15</v>
      </c>
      <c r="D4" s="15" t="s">
        <v>25</v>
      </c>
      <c r="E4" s="15" t="s">
        <v>26</v>
      </c>
      <c r="F4" s="16" t="s">
        <v>27</v>
      </c>
      <c r="G4" s="17" t="s">
        <v>28</v>
      </c>
      <c r="H4" s="17" t="s">
        <v>29</v>
      </c>
      <c r="I4" s="18" t="s">
        <v>30</v>
      </c>
      <c r="J4" s="18" t="s">
        <v>22</v>
      </c>
      <c r="K4" s="17" t="s">
        <v>31</v>
      </c>
      <c r="L4" s="19">
        <v>47</v>
      </c>
      <c r="M4" s="23">
        <v>18</v>
      </c>
    </row>
    <row r="5" spans="1:13" s="21" customFormat="1">
      <c r="A5" s="17">
        <v>3</v>
      </c>
      <c r="B5" s="22" t="s">
        <v>32</v>
      </c>
      <c r="C5" s="17" t="s">
        <v>15</v>
      </c>
      <c r="D5" s="15" t="s">
        <v>33</v>
      </c>
      <c r="E5" s="15" t="s">
        <v>34</v>
      </c>
      <c r="F5" s="16" t="s">
        <v>27</v>
      </c>
      <c r="G5" s="17" t="s">
        <v>28</v>
      </c>
      <c r="H5" s="17" t="s">
        <v>29</v>
      </c>
      <c r="I5" s="18" t="s">
        <v>30</v>
      </c>
      <c r="J5" s="18" t="s">
        <v>22</v>
      </c>
      <c r="K5" s="17" t="s">
        <v>35</v>
      </c>
      <c r="L5" s="19">
        <v>37</v>
      </c>
      <c r="M5" s="23">
        <v>7</v>
      </c>
    </row>
    <row r="6" spans="1:13" s="21" customFormat="1">
      <c r="A6" s="17">
        <v>4</v>
      </c>
      <c r="B6" s="22" t="s">
        <v>36</v>
      </c>
      <c r="C6" s="17" t="s">
        <v>15</v>
      </c>
      <c r="D6" s="22" t="s">
        <v>37</v>
      </c>
      <c r="E6" s="15" t="s">
        <v>38</v>
      </c>
      <c r="F6" s="16" t="s">
        <v>27</v>
      </c>
      <c r="G6" s="17" t="s">
        <v>28</v>
      </c>
      <c r="H6" s="17" t="s">
        <v>29</v>
      </c>
      <c r="I6" s="18" t="s">
        <v>30</v>
      </c>
      <c r="J6" s="18" t="s">
        <v>22</v>
      </c>
      <c r="K6" s="17" t="s">
        <v>39</v>
      </c>
      <c r="L6" s="19">
        <v>46</v>
      </c>
      <c r="M6" s="23">
        <v>18</v>
      </c>
    </row>
    <row r="7" spans="1:13" s="21" customFormat="1" ht="63">
      <c r="A7" s="17">
        <v>5</v>
      </c>
      <c r="B7" s="22" t="s">
        <v>40</v>
      </c>
      <c r="C7" s="17" t="s">
        <v>15</v>
      </c>
      <c r="D7" s="24" t="s">
        <v>41</v>
      </c>
      <c r="E7" s="15" t="s">
        <v>42</v>
      </c>
      <c r="F7" s="25" t="s">
        <v>43</v>
      </c>
      <c r="G7" s="17" t="s">
        <v>28</v>
      </c>
      <c r="H7" s="26" t="s">
        <v>20</v>
      </c>
      <c r="I7" s="18" t="s">
        <v>44</v>
      </c>
      <c r="J7" s="26" t="s">
        <v>45</v>
      </c>
      <c r="K7" s="26" t="s">
        <v>46</v>
      </c>
      <c r="L7" s="19">
        <v>36</v>
      </c>
      <c r="M7" s="23">
        <v>11</v>
      </c>
    </row>
    <row r="8" spans="1:13" s="21" customFormat="1">
      <c r="A8" s="17">
        <v>6</v>
      </c>
      <c r="B8" s="22" t="s">
        <v>47</v>
      </c>
      <c r="C8" s="17" t="s">
        <v>15</v>
      </c>
      <c r="D8" s="24" t="s">
        <v>48</v>
      </c>
      <c r="E8" s="15" t="s">
        <v>49</v>
      </c>
      <c r="F8" s="16"/>
      <c r="G8" s="17" t="s">
        <v>50</v>
      </c>
      <c r="H8" s="26" t="s">
        <v>29</v>
      </c>
      <c r="I8" s="18" t="s">
        <v>51</v>
      </c>
      <c r="J8" s="26" t="s">
        <v>52</v>
      </c>
      <c r="K8" s="26" t="s">
        <v>23</v>
      </c>
      <c r="L8" s="19">
        <v>33</v>
      </c>
      <c r="M8" s="23">
        <v>8</v>
      </c>
    </row>
    <row r="9" spans="1:13" s="21" customFormat="1">
      <c r="A9" s="17">
        <v>7</v>
      </c>
      <c r="B9" s="22" t="s">
        <v>53</v>
      </c>
      <c r="C9" s="17" t="s">
        <v>15</v>
      </c>
      <c r="D9" s="24" t="s">
        <v>54</v>
      </c>
      <c r="E9" s="15" t="s">
        <v>55</v>
      </c>
      <c r="F9" s="16" t="s">
        <v>56</v>
      </c>
      <c r="G9" s="17" t="s">
        <v>28</v>
      </c>
      <c r="H9" s="26" t="s">
        <v>29</v>
      </c>
      <c r="I9" s="18" t="s">
        <v>57</v>
      </c>
      <c r="J9" s="26"/>
      <c r="K9" s="26" t="s">
        <v>23</v>
      </c>
      <c r="L9" s="19">
        <v>43</v>
      </c>
      <c r="M9" s="23">
        <v>21</v>
      </c>
    </row>
    <row r="10" spans="1:13" s="21" customFormat="1" ht="42">
      <c r="A10" s="17">
        <v>8</v>
      </c>
      <c r="B10" s="22" t="s">
        <v>58</v>
      </c>
      <c r="C10" s="17" t="s">
        <v>15</v>
      </c>
      <c r="D10" s="24" t="s">
        <v>59</v>
      </c>
      <c r="E10" s="15" t="s">
        <v>60</v>
      </c>
      <c r="F10" s="25" t="s">
        <v>61</v>
      </c>
      <c r="G10" s="17" t="s">
        <v>19</v>
      </c>
      <c r="H10" s="17" t="s">
        <v>20</v>
      </c>
      <c r="I10" s="18" t="s">
        <v>62</v>
      </c>
      <c r="J10" s="26"/>
      <c r="K10" s="26" t="s">
        <v>63</v>
      </c>
      <c r="L10" s="19">
        <v>31</v>
      </c>
      <c r="M10" s="23">
        <v>8</v>
      </c>
    </row>
    <row r="11" spans="1:13" s="21" customFormat="1">
      <c r="A11" s="17">
        <v>9</v>
      </c>
      <c r="B11" s="22" t="s">
        <v>64</v>
      </c>
      <c r="C11" s="17" t="s">
        <v>15</v>
      </c>
      <c r="D11" s="24" t="s">
        <v>65</v>
      </c>
      <c r="E11" s="15" t="s">
        <v>66</v>
      </c>
      <c r="F11" s="16" t="s">
        <v>67</v>
      </c>
      <c r="G11" s="17" t="s">
        <v>28</v>
      </c>
      <c r="H11" s="26" t="s">
        <v>29</v>
      </c>
      <c r="I11" s="18" t="s">
        <v>68</v>
      </c>
      <c r="J11" s="26"/>
      <c r="K11" s="26" t="s">
        <v>69</v>
      </c>
      <c r="L11" s="19">
        <v>40</v>
      </c>
      <c r="M11" s="23">
        <v>12</v>
      </c>
    </row>
    <row r="12" spans="1:13" s="21" customFormat="1">
      <c r="A12" s="17">
        <v>10</v>
      </c>
      <c r="B12" s="22" t="s">
        <v>70</v>
      </c>
      <c r="C12" s="17" t="s">
        <v>15</v>
      </c>
      <c r="D12" s="24" t="s">
        <v>71</v>
      </c>
      <c r="E12" s="15" t="s">
        <v>72</v>
      </c>
      <c r="F12" s="16" t="s">
        <v>73</v>
      </c>
      <c r="G12" s="17" t="s">
        <v>28</v>
      </c>
      <c r="H12" s="26" t="s">
        <v>29</v>
      </c>
      <c r="I12" s="18" t="s">
        <v>74</v>
      </c>
      <c r="J12" s="26"/>
      <c r="K12" s="26" t="s">
        <v>75</v>
      </c>
      <c r="L12" s="19">
        <v>29</v>
      </c>
      <c r="M12" s="23">
        <v>6</v>
      </c>
    </row>
    <row r="13" spans="1:13" s="21" customFormat="1">
      <c r="A13" s="17">
        <v>11</v>
      </c>
      <c r="B13" s="22" t="s">
        <v>76</v>
      </c>
      <c r="C13" s="17" t="s">
        <v>15</v>
      </c>
      <c r="D13" s="27" t="s">
        <v>77</v>
      </c>
      <c r="E13" s="15" t="s">
        <v>78</v>
      </c>
      <c r="F13" s="16" t="s">
        <v>79</v>
      </c>
      <c r="G13" s="17" t="s">
        <v>19</v>
      </c>
      <c r="H13" s="26" t="s">
        <v>29</v>
      </c>
      <c r="I13" s="18" t="s">
        <v>74</v>
      </c>
      <c r="J13" s="26"/>
      <c r="K13" s="26" t="s">
        <v>23</v>
      </c>
      <c r="L13" s="19">
        <v>32</v>
      </c>
      <c r="M13" s="23">
        <v>6</v>
      </c>
    </row>
    <row r="14" spans="1:13" s="21" customFormat="1">
      <c r="A14" s="17">
        <v>12</v>
      </c>
      <c r="B14" s="22" t="s">
        <v>80</v>
      </c>
      <c r="C14" s="17" t="s">
        <v>15</v>
      </c>
      <c r="D14" s="27" t="s">
        <v>81</v>
      </c>
      <c r="E14" s="15" t="s">
        <v>82</v>
      </c>
      <c r="F14" s="16"/>
      <c r="G14" s="17" t="s">
        <v>83</v>
      </c>
      <c r="H14" s="26" t="s">
        <v>29</v>
      </c>
      <c r="I14" s="18" t="s">
        <v>74</v>
      </c>
      <c r="J14" s="26"/>
      <c r="K14" s="26" t="s">
        <v>23</v>
      </c>
      <c r="L14" s="19">
        <v>26</v>
      </c>
      <c r="M14" s="23">
        <v>3</v>
      </c>
    </row>
    <row r="15" spans="1:13" s="21" customFormat="1">
      <c r="A15" s="17">
        <v>13</v>
      </c>
      <c r="B15" s="22" t="s">
        <v>84</v>
      </c>
      <c r="C15" s="17" t="s">
        <v>15</v>
      </c>
      <c r="D15" s="27" t="s">
        <v>85</v>
      </c>
      <c r="E15" s="15" t="s">
        <v>86</v>
      </c>
      <c r="F15" s="16"/>
      <c r="G15" s="28" t="s">
        <v>87</v>
      </c>
      <c r="H15" s="26" t="s">
        <v>29</v>
      </c>
      <c r="I15" s="26" t="s">
        <v>88</v>
      </c>
      <c r="J15" s="26" t="s">
        <v>89</v>
      </c>
      <c r="K15" s="26" t="s">
        <v>23</v>
      </c>
      <c r="L15" s="19">
        <v>37</v>
      </c>
      <c r="M15" s="23">
        <v>3</v>
      </c>
    </row>
    <row r="16" spans="1:13" s="21" customFormat="1">
      <c r="A16" s="17">
        <v>14</v>
      </c>
      <c r="B16" s="22" t="s">
        <v>90</v>
      </c>
      <c r="C16" s="17" t="s">
        <v>15</v>
      </c>
      <c r="D16" s="27" t="s">
        <v>91</v>
      </c>
      <c r="E16" s="15" t="e" cm="1" vm="1">
        <f t="array" aca="1" ref="E16" ca="1">VLOOKUP(Table142356789[Name],[1]Data!$F:$G,2,0)</f>
        <v>#VALUE!</v>
      </c>
      <c r="F16" s="30"/>
      <c r="G16" s="28"/>
      <c r="H16" s="26"/>
      <c r="I16" s="29"/>
      <c r="J16" s="26"/>
      <c r="K16" s="26"/>
      <c r="L16" s="19"/>
      <c r="M16" s="23"/>
    </row>
    <row r="17" spans="1:13" s="21" customFormat="1">
      <c r="A17" s="26">
        <v>15</v>
      </c>
      <c r="B17" s="15" t="s">
        <v>92</v>
      </c>
      <c r="C17" s="17" t="s">
        <v>15</v>
      </c>
      <c r="D17" s="24" t="s">
        <v>93</v>
      </c>
      <c r="E17" s="15" t="e" cm="1" vm="1">
        <f t="array" aca="1" ref="E17" ca="1">VLOOKUP(Table142356789[Name],[1]Data!$F:$G,2,0)</f>
        <v>#VALUE!</v>
      </c>
      <c r="F17" s="30"/>
      <c r="G17" s="28"/>
      <c r="H17" s="26"/>
      <c r="I17" s="29"/>
      <c r="J17" s="26"/>
      <c r="K17" s="26"/>
      <c r="L17" s="19"/>
      <c r="M17" s="23"/>
    </row>
    <row r="18" spans="1:13" s="21" customFormat="1">
      <c r="A18" s="17">
        <v>16</v>
      </c>
      <c r="B18" s="31" t="s">
        <v>94</v>
      </c>
      <c r="C18" s="17" t="s">
        <v>15</v>
      </c>
      <c r="D18" s="24" t="s">
        <v>95</v>
      </c>
      <c r="E18" s="15" t="e" cm="1" vm="1">
        <f t="array" aca="1" ref="E18" ca="1">VLOOKUP(Table142356789[Name],[1]Data!$F:$G,2,0)</f>
        <v>#VALUE!</v>
      </c>
      <c r="F18" s="30"/>
      <c r="G18" s="28"/>
      <c r="H18" s="26"/>
      <c r="I18" s="29"/>
      <c r="J18" s="26"/>
      <c r="K18" s="26"/>
      <c r="L18" s="19"/>
      <c r="M18" s="23"/>
    </row>
    <row r="19" spans="1:13" s="21" customFormat="1">
      <c r="A19" s="17">
        <v>17</v>
      </c>
      <c r="B19" s="31" t="s">
        <v>96</v>
      </c>
      <c r="C19" s="17" t="s">
        <v>15</v>
      </c>
      <c r="D19" s="24" t="s">
        <v>97</v>
      </c>
      <c r="E19" s="15"/>
      <c r="F19" s="30"/>
      <c r="G19" s="28"/>
      <c r="H19" s="26"/>
      <c r="I19" s="29"/>
      <c r="J19" s="26"/>
      <c r="K19" s="26"/>
      <c r="L19" s="19"/>
      <c r="M19" s="23"/>
    </row>
    <row r="20" spans="1:13" s="21" customFormat="1">
      <c r="A20" s="17">
        <v>18</v>
      </c>
      <c r="B20" s="31" t="s">
        <v>98</v>
      </c>
      <c r="C20" s="32" t="s">
        <v>99</v>
      </c>
      <c r="D20" s="24"/>
      <c r="E20" s="15"/>
      <c r="F20" s="30"/>
      <c r="G20" s="28"/>
      <c r="H20" s="26"/>
      <c r="I20" s="29"/>
      <c r="J20" s="26"/>
      <c r="K20" s="26"/>
      <c r="L20" s="19"/>
      <c r="M20" s="23"/>
    </row>
    <row r="21" spans="1:13" s="21" customFormat="1">
      <c r="A21" s="17">
        <v>19</v>
      </c>
      <c r="B21" s="31" t="s">
        <v>62</v>
      </c>
      <c r="C21" s="32" t="s">
        <v>99</v>
      </c>
      <c r="D21" s="24"/>
      <c r="E21" s="15"/>
      <c r="F21" s="30"/>
      <c r="G21" s="28"/>
      <c r="H21" s="26"/>
      <c r="I21" s="29"/>
      <c r="J21" s="26"/>
      <c r="K21" s="26"/>
      <c r="L21" s="19"/>
      <c r="M21" s="23"/>
    </row>
    <row r="22" spans="1:13" s="21" customFormat="1" ht="21">
      <c r="A22" s="17">
        <v>20</v>
      </c>
      <c r="B22" s="31" t="s">
        <v>100</v>
      </c>
      <c r="C22" s="32" t="s">
        <v>99</v>
      </c>
      <c r="D22" s="24"/>
      <c r="E22" s="15"/>
      <c r="F22" s="30"/>
      <c r="G22" s="28"/>
      <c r="H22" s="26"/>
      <c r="I22" s="29"/>
      <c r="J22" s="26"/>
      <c r="K22" s="26"/>
      <c r="L22" s="33"/>
      <c r="M22" s="23"/>
    </row>
    <row r="23" spans="1:13" s="21" customFormat="1">
      <c r="A23" s="17">
        <v>21</v>
      </c>
      <c r="B23" s="31" t="s">
        <v>57</v>
      </c>
      <c r="C23" s="32" t="s">
        <v>99</v>
      </c>
      <c r="D23" s="24"/>
      <c r="E23" s="15"/>
      <c r="F23" s="30"/>
      <c r="G23" s="28"/>
      <c r="H23" s="26"/>
      <c r="I23" s="29"/>
      <c r="J23" s="26"/>
      <c r="K23" s="26"/>
      <c r="L23" s="23"/>
      <c r="M23" s="23"/>
    </row>
    <row r="24" spans="1:13" s="21" customFormat="1">
      <c r="A24" s="17">
        <v>22</v>
      </c>
      <c r="B24" s="31" t="s">
        <v>30</v>
      </c>
      <c r="C24" s="32" t="s">
        <v>99</v>
      </c>
      <c r="D24" s="24"/>
      <c r="E24" s="15"/>
      <c r="F24" s="30"/>
      <c r="G24" s="28"/>
      <c r="H24" s="26"/>
      <c r="I24" s="29"/>
      <c r="J24" s="26"/>
      <c r="K24" s="26"/>
      <c r="L24" s="23"/>
      <c r="M24" s="23"/>
    </row>
    <row r="25" spans="1:13" s="21" customFormat="1">
      <c r="A25" s="17">
        <v>23</v>
      </c>
      <c r="B25" s="31" t="s">
        <v>68</v>
      </c>
      <c r="C25" s="32" t="s">
        <v>99</v>
      </c>
      <c r="D25" s="24"/>
      <c r="E25" s="15"/>
      <c r="F25" s="30"/>
      <c r="G25" s="28"/>
      <c r="H25" s="26"/>
      <c r="I25" s="29"/>
      <c r="J25" s="26"/>
      <c r="K25" s="26"/>
      <c r="L25" s="23"/>
      <c r="M25" s="23"/>
    </row>
    <row r="26" spans="1:13" s="21" customFormat="1">
      <c r="A26" s="17">
        <v>24</v>
      </c>
      <c r="B26" s="31" t="s">
        <v>101</v>
      </c>
      <c r="C26" s="32" t="s">
        <v>102</v>
      </c>
      <c r="D26" s="24" t="s">
        <v>101</v>
      </c>
      <c r="E26" s="15"/>
      <c r="F26" s="30"/>
      <c r="G26" s="28"/>
      <c r="H26" s="26"/>
      <c r="I26" s="29"/>
      <c r="J26" s="26"/>
      <c r="K26" s="26"/>
      <c r="L26" s="23"/>
      <c r="M26" s="23"/>
    </row>
    <row r="27" spans="1:13" s="21" customFormat="1">
      <c r="A27" s="17">
        <v>25</v>
      </c>
      <c r="B27" s="31" t="s">
        <v>103</v>
      </c>
      <c r="C27" s="32" t="s">
        <v>102</v>
      </c>
      <c r="D27" s="24" t="s">
        <v>104</v>
      </c>
      <c r="E27" s="15"/>
      <c r="F27" s="30"/>
      <c r="G27" s="28"/>
      <c r="H27" s="26"/>
      <c r="I27" s="29"/>
      <c r="J27" s="26"/>
      <c r="K27" s="26"/>
      <c r="L27" s="23"/>
      <c r="M27" s="23"/>
    </row>
    <row r="28" spans="1:13" s="21" customFormat="1">
      <c r="A28" s="17">
        <v>26</v>
      </c>
      <c r="B28" s="31" t="s">
        <v>105</v>
      </c>
      <c r="C28" s="32" t="s">
        <v>102</v>
      </c>
      <c r="D28" s="24" t="s">
        <v>105</v>
      </c>
      <c r="E28" s="15"/>
      <c r="F28" s="30"/>
      <c r="G28" s="28"/>
      <c r="H28" s="26"/>
      <c r="I28" s="29"/>
      <c r="J28" s="26"/>
      <c r="K28" s="26"/>
      <c r="L28" s="23"/>
      <c r="M28" s="23"/>
    </row>
    <row r="29" spans="1:13" s="21" customFormat="1">
      <c r="A29" s="17">
        <v>27</v>
      </c>
      <c r="B29" s="31" t="s">
        <v>106</v>
      </c>
      <c r="C29" s="32" t="s">
        <v>102</v>
      </c>
      <c r="D29" s="31" t="s">
        <v>106</v>
      </c>
      <c r="E29" s="15"/>
      <c r="F29" s="30"/>
      <c r="G29" s="28"/>
      <c r="H29" s="26"/>
      <c r="I29" s="29"/>
      <c r="J29" s="26"/>
      <c r="K29" s="26"/>
      <c r="L29" s="23"/>
      <c r="M29" s="23"/>
    </row>
    <row r="30" spans="1:13" s="21" customFormat="1">
      <c r="A30" s="17">
        <v>28</v>
      </c>
      <c r="B30" s="31" t="s">
        <v>107</v>
      </c>
      <c r="C30" s="32" t="s">
        <v>102</v>
      </c>
      <c r="D30" s="31" t="s">
        <v>107</v>
      </c>
      <c r="E30" s="15"/>
      <c r="F30" s="30"/>
      <c r="G30" s="28"/>
      <c r="H30" s="26"/>
      <c r="I30" s="29"/>
      <c r="J30" s="26"/>
      <c r="K30" s="26"/>
      <c r="L30" s="23"/>
      <c r="M30" s="23"/>
    </row>
    <row r="31" spans="1:13" s="21" customFormat="1">
      <c r="A31" s="17">
        <v>29</v>
      </c>
      <c r="B31" s="31" t="s">
        <v>108</v>
      </c>
      <c r="C31" s="32" t="s">
        <v>102</v>
      </c>
      <c r="D31" s="31" t="s">
        <v>108</v>
      </c>
      <c r="E31" s="15"/>
      <c r="F31" s="30"/>
      <c r="G31" s="28"/>
      <c r="H31" s="26"/>
      <c r="I31" s="29"/>
      <c r="J31" s="26"/>
      <c r="K31" s="26"/>
      <c r="L31" s="23"/>
      <c r="M31" s="23"/>
    </row>
    <row r="32" spans="1:13" s="21" customFormat="1">
      <c r="A32" s="17">
        <v>30</v>
      </c>
      <c r="B32" s="31" t="s">
        <v>109</v>
      </c>
      <c r="C32" s="32" t="s">
        <v>102</v>
      </c>
      <c r="D32" s="31" t="s">
        <v>109</v>
      </c>
      <c r="E32" s="15"/>
      <c r="F32" s="30"/>
      <c r="G32" s="28"/>
      <c r="H32" s="26"/>
      <c r="I32" s="29"/>
      <c r="J32" s="26"/>
      <c r="K32" s="26"/>
      <c r="L32" s="23"/>
      <c r="M32" s="23"/>
    </row>
    <row r="33" spans="1:13" s="21" customFormat="1">
      <c r="A33" s="17">
        <v>31</v>
      </c>
      <c r="B33" s="31" t="s">
        <v>110</v>
      </c>
      <c r="C33" s="32" t="s">
        <v>102</v>
      </c>
      <c r="D33" s="31" t="s">
        <v>110</v>
      </c>
      <c r="E33" s="15"/>
      <c r="F33" s="30"/>
      <c r="G33" s="28"/>
      <c r="H33" s="26"/>
      <c r="I33" s="29"/>
      <c r="J33" s="26"/>
      <c r="K33" s="26"/>
      <c r="L33" s="23"/>
      <c r="M33" s="23"/>
    </row>
    <row r="34" spans="1:13" s="21" customFormat="1" ht="21">
      <c r="A34" s="17">
        <v>32</v>
      </c>
      <c r="B34" s="31" t="s">
        <v>111</v>
      </c>
      <c r="C34" s="32" t="s">
        <v>102</v>
      </c>
      <c r="D34" s="31" t="s">
        <v>111</v>
      </c>
      <c r="E34" s="15"/>
      <c r="F34" s="30"/>
      <c r="G34" s="28"/>
      <c r="H34" s="26"/>
      <c r="I34" s="29"/>
      <c r="J34" s="26"/>
      <c r="K34" s="26"/>
      <c r="L34" s="34"/>
      <c r="M34" s="23"/>
    </row>
    <row r="35" spans="1:13" s="21" customFormat="1">
      <c r="A35" s="17">
        <v>33</v>
      </c>
      <c r="B35" s="31" t="s">
        <v>112</v>
      </c>
      <c r="C35" s="32" t="s">
        <v>102</v>
      </c>
      <c r="D35" s="31" t="s">
        <v>112</v>
      </c>
      <c r="E35" s="15"/>
      <c r="F35" s="30"/>
      <c r="G35" s="28"/>
      <c r="H35" s="26"/>
      <c r="I35" s="29"/>
      <c r="J35" s="26"/>
      <c r="K35" s="26"/>
      <c r="L35" s="23"/>
      <c r="M35" s="23"/>
    </row>
    <row r="36" spans="1:13" s="21" customFormat="1">
      <c r="A36" s="17">
        <v>34</v>
      </c>
      <c r="B36" s="31" t="s">
        <v>113</v>
      </c>
      <c r="C36" s="32" t="s">
        <v>102</v>
      </c>
      <c r="D36" s="31" t="s">
        <v>113</v>
      </c>
      <c r="E36" s="15"/>
      <c r="F36" s="30"/>
      <c r="G36" s="28"/>
      <c r="H36" s="26"/>
      <c r="I36" s="29"/>
      <c r="J36" s="26"/>
      <c r="K36" s="26"/>
      <c r="L36" s="23"/>
      <c r="M36" s="23"/>
    </row>
    <row r="37" spans="1:13" s="21" customFormat="1">
      <c r="A37" s="17">
        <v>35</v>
      </c>
      <c r="B37" s="31" t="s">
        <v>114</v>
      </c>
      <c r="C37" s="32" t="s">
        <v>102</v>
      </c>
      <c r="D37" s="31" t="s">
        <v>114</v>
      </c>
      <c r="E37" s="15"/>
      <c r="F37" s="30"/>
      <c r="G37" s="28"/>
      <c r="H37" s="26"/>
      <c r="I37" s="29"/>
      <c r="J37" s="26"/>
      <c r="K37" s="26"/>
      <c r="L37" s="23"/>
      <c r="M37" s="23"/>
    </row>
    <row r="38" spans="1:13" s="21" customFormat="1">
      <c r="A38" s="17">
        <v>36</v>
      </c>
      <c r="B38" s="32"/>
      <c r="C38" s="32"/>
      <c r="D38" s="24"/>
      <c r="E38" s="15"/>
      <c r="F38" s="30"/>
      <c r="G38" s="28"/>
      <c r="H38" s="26"/>
      <c r="I38" s="29"/>
      <c r="J38" s="26"/>
      <c r="K38" s="26"/>
      <c r="L38" s="23"/>
      <c r="M38" s="23"/>
    </row>
    <row r="39" spans="1:13" s="21" customFormat="1">
      <c r="A39" s="17">
        <v>37</v>
      </c>
      <c r="B39" s="32"/>
      <c r="C39" s="32"/>
      <c r="D39" s="24"/>
      <c r="E39" s="15"/>
      <c r="F39" s="30"/>
      <c r="G39" s="28"/>
      <c r="H39" s="26"/>
      <c r="I39" s="29"/>
      <c r="J39" s="26"/>
      <c r="K39" s="26"/>
      <c r="L39" s="23"/>
      <c r="M39" s="23"/>
    </row>
    <row r="40" spans="1:13" s="21" customFormat="1">
      <c r="A40" s="17">
        <v>38</v>
      </c>
      <c r="B40" s="32"/>
      <c r="C40" s="32"/>
      <c r="D40" s="24"/>
      <c r="E40" s="15"/>
      <c r="F40" s="30"/>
      <c r="G40" s="28"/>
      <c r="H40" s="26"/>
      <c r="I40" s="29"/>
      <c r="J40" s="26"/>
      <c r="K40" s="26"/>
      <c r="L40" s="23"/>
      <c r="M40" s="23"/>
    </row>
    <row r="41" spans="1:13" s="21" customFormat="1">
      <c r="A41" s="17">
        <v>39</v>
      </c>
      <c r="B41" s="32"/>
      <c r="C41" s="32"/>
      <c r="D41" s="24"/>
      <c r="E41" s="15"/>
      <c r="F41" s="30"/>
      <c r="G41" s="28"/>
      <c r="H41" s="26"/>
      <c r="I41" s="29"/>
      <c r="J41" s="26"/>
      <c r="K41" s="26"/>
      <c r="L41" s="19"/>
      <c r="M41" s="23"/>
    </row>
    <row r="42" spans="1:13" s="21" customFormat="1">
      <c r="A42" s="32">
        <v>40</v>
      </c>
      <c r="B42" s="32"/>
      <c r="C42" s="32"/>
      <c r="D42" s="27"/>
      <c r="E42" s="35"/>
      <c r="F42" s="36"/>
      <c r="G42" s="37"/>
      <c r="H42" s="38"/>
      <c r="I42" s="39"/>
      <c r="J42" s="38"/>
      <c r="K42" s="38"/>
      <c r="L42" s="19"/>
      <c r="M42" s="23"/>
    </row>
    <row r="43" spans="1:13">
      <c r="A43" s="8"/>
      <c r="B43" s="8"/>
      <c r="C43" s="9"/>
      <c r="D43" s="8"/>
      <c r="E43" s="8"/>
      <c r="F43" s="8"/>
      <c r="G43" s="9"/>
      <c r="H43" s="9"/>
      <c r="I43" s="8"/>
      <c r="J43" s="9"/>
      <c r="K43" s="9"/>
      <c r="L43" s="9"/>
    </row>
  </sheetData>
  <conditionalFormatting sqref="D18:D21">
    <cfRule type="duplicateValues" dxfId="6" priority="2"/>
  </conditionalFormatting>
  <conditionalFormatting sqref="D22:D23">
    <cfRule type="duplicateValues" dxfId="5" priority="1"/>
  </conditionalFormatting>
  <conditionalFormatting sqref="E20:E21">
    <cfRule type="duplicateValues" dxfId="4" priority="5"/>
  </conditionalFormatting>
  <conditionalFormatting sqref="E22:E23">
    <cfRule type="duplicateValues" dxfId="3" priority="3"/>
  </conditionalFormatting>
  <pageMargins left="0.7" right="0.7" top="0.75" bottom="0.75" header="0.3" footer="0.3"/>
  <pageSetup orientation="portrait" r:id="rId1"/>
  <ignoredErrors>
    <ignoredError sqref="E16" evalError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C7F7-9B59-46E5-8203-6F9621E03220}">
  <sheetPr>
    <pageSetUpPr fitToPage="1"/>
  </sheetPr>
  <dimension ref="A1:G49"/>
  <sheetViews>
    <sheetView topLeftCell="A31" zoomScaleNormal="100" workbookViewId="0">
      <selection activeCell="F45" sqref="F45"/>
    </sheetView>
  </sheetViews>
  <sheetFormatPr baseColWidth="10" defaultColWidth="8.83203125" defaultRowHeight="15"/>
  <cols>
    <col min="2" max="2" width="15.6640625" customWidth="1"/>
    <col min="3" max="3" width="11.5" customWidth="1"/>
    <col min="4" max="4" width="19.83203125" customWidth="1"/>
    <col min="5" max="5" width="21.6640625" customWidth="1"/>
    <col min="6" max="6" width="19.33203125" customWidth="1"/>
    <col min="7" max="7" width="7.6640625" customWidth="1"/>
  </cols>
  <sheetData>
    <row r="1" spans="1:7" ht="18">
      <c r="A1" s="58" t="s">
        <v>1</v>
      </c>
      <c r="B1" s="58" t="s">
        <v>3</v>
      </c>
      <c r="C1" s="58" t="s">
        <v>4</v>
      </c>
      <c r="D1" s="58" t="s">
        <v>5</v>
      </c>
      <c r="E1" s="58" t="s">
        <v>7</v>
      </c>
      <c r="F1" s="58" t="s">
        <v>10</v>
      </c>
      <c r="G1" s="57" t="s">
        <v>187</v>
      </c>
    </row>
    <row r="2" spans="1:7" ht="18">
      <c r="A2" s="59">
        <v>1</v>
      </c>
      <c r="B2" s="59" t="s">
        <v>99</v>
      </c>
      <c r="C2" s="60" t="s">
        <v>140</v>
      </c>
      <c r="D2" s="60" t="s">
        <v>141</v>
      </c>
      <c r="E2" s="59" t="s">
        <v>222</v>
      </c>
      <c r="F2" s="59" t="s">
        <v>22</v>
      </c>
      <c r="G2" s="61"/>
    </row>
    <row r="3" spans="1:7" ht="18">
      <c r="A3" s="59">
        <v>2</v>
      </c>
      <c r="B3" s="59" t="s">
        <v>197</v>
      </c>
      <c r="C3" s="60" t="s">
        <v>138</v>
      </c>
      <c r="D3" s="60" t="s">
        <v>139</v>
      </c>
      <c r="E3" s="59" t="s">
        <v>199</v>
      </c>
      <c r="F3" s="59" t="s">
        <v>22</v>
      </c>
      <c r="G3" s="61"/>
    </row>
    <row r="4" spans="1:7" ht="18">
      <c r="A4" s="59">
        <v>3</v>
      </c>
      <c r="B4" s="59" t="s">
        <v>197</v>
      </c>
      <c r="C4" s="60" t="s">
        <v>142</v>
      </c>
      <c r="D4" s="60" t="s">
        <v>143</v>
      </c>
      <c r="E4" s="59" t="s">
        <v>199</v>
      </c>
      <c r="F4" s="59" t="s">
        <v>22</v>
      </c>
      <c r="G4" s="61"/>
    </row>
    <row r="5" spans="1:7" ht="18">
      <c r="A5" s="59">
        <v>4</v>
      </c>
      <c r="B5" s="59" t="s">
        <v>197</v>
      </c>
      <c r="C5" s="60" t="s">
        <v>145</v>
      </c>
      <c r="D5" s="60" t="s">
        <v>146</v>
      </c>
      <c r="E5" s="59" t="s">
        <v>199</v>
      </c>
      <c r="F5" s="59" t="s">
        <v>22</v>
      </c>
      <c r="G5" s="61"/>
    </row>
    <row r="6" spans="1:7" ht="18">
      <c r="A6" s="59">
        <v>5</v>
      </c>
      <c r="B6" s="59" t="s">
        <v>197</v>
      </c>
      <c r="C6" s="60" t="s">
        <v>147</v>
      </c>
      <c r="D6" s="60" t="s">
        <v>148</v>
      </c>
      <c r="E6" s="59" t="s">
        <v>199</v>
      </c>
      <c r="F6" s="59" t="s">
        <v>22</v>
      </c>
      <c r="G6" s="61"/>
    </row>
    <row r="7" spans="1:7" ht="18">
      <c r="A7" s="59">
        <v>6</v>
      </c>
      <c r="B7" s="59" t="s">
        <v>197</v>
      </c>
      <c r="C7" s="60" t="s">
        <v>184</v>
      </c>
      <c r="D7" s="60" t="s">
        <v>185</v>
      </c>
      <c r="E7" s="59" t="s">
        <v>199</v>
      </c>
      <c r="F7" s="59" t="s">
        <v>45</v>
      </c>
      <c r="G7" s="61"/>
    </row>
    <row r="8" spans="1:7" ht="18">
      <c r="A8" s="59">
        <v>7</v>
      </c>
      <c r="B8" s="59" t="s">
        <v>197</v>
      </c>
      <c r="C8" s="60" t="s">
        <v>212</v>
      </c>
      <c r="D8" s="60" t="s">
        <v>213</v>
      </c>
      <c r="E8" s="59" t="s">
        <v>199</v>
      </c>
      <c r="F8" s="59" t="s">
        <v>189</v>
      </c>
      <c r="G8" s="61"/>
    </row>
    <row r="9" spans="1:7" ht="18">
      <c r="A9" s="59">
        <v>8</v>
      </c>
      <c r="B9" s="59" t="s">
        <v>197</v>
      </c>
      <c r="C9" s="62" t="s">
        <v>216</v>
      </c>
      <c r="D9" s="60" t="s">
        <v>217</v>
      </c>
      <c r="E9" s="59" t="s">
        <v>199</v>
      </c>
      <c r="F9" s="59" t="s">
        <v>89</v>
      </c>
      <c r="G9" s="61"/>
    </row>
    <row r="10" spans="1:7" ht="18">
      <c r="A10" s="59">
        <v>9</v>
      </c>
      <c r="B10" s="59" t="s">
        <v>197</v>
      </c>
      <c r="C10" s="62" t="s">
        <v>218</v>
      </c>
      <c r="D10" s="60" t="s">
        <v>219</v>
      </c>
      <c r="E10" s="59" t="s">
        <v>199</v>
      </c>
      <c r="F10" s="59" t="s">
        <v>189</v>
      </c>
      <c r="G10" s="61"/>
    </row>
    <row r="11" spans="1:7" ht="18">
      <c r="A11" s="59">
        <v>10</v>
      </c>
      <c r="B11" s="59" t="s">
        <v>197</v>
      </c>
      <c r="C11" s="60" t="s">
        <v>214</v>
      </c>
      <c r="D11" s="60" t="s">
        <v>215</v>
      </c>
      <c r="E11" s="59" t="s">
        <v>199</v>
      </c>
      <c r="F11" s="59" t="s">
        <v>22</v>
      </c>
      <c r="G11" s="61"/>
    </row>
    <row r="12" spans="1:7" ht="18">
      <c r="A12" s="59">
        <v>11</v>
      </c>
      <c r="B12" s="59" t="s">
        <v>197</v>
      </c>
      <c r="C12" s="60" t="s">
        <v>203</v>
      </c>
      <c r="D12" s="60" t="s">
        <v>204</v>
      </c>
      <c r="E12" s="59" t="s">
        <v>199</v>
      </c>
      <c r="F12" s="59" t="s">
        <v>22</v>
      </c>
      <c r="G12" s="63"/>
    </row>
    <row r="13" spans="1:7" ht="18">
      <c r="A13" s="59">
        <v>12</v>
      </c>
      <c r="B13" s="59" t="s">
        <v>99</v>
      </c>
      <c r="C13" s="60" t="s">
        <v>136</v>
      </c>
      <c r="D13" s="60" t="s">
        <v>137</v>
      </c>
      <c r="E13" s="59" t="s">
        <v>199</v>
      </c>
      <c r="F13" s="59" t="s">
        <v>22</v>
      </c>
      <c r="G13" s="63"/>
    </row>
    <row r="14" spans="1:7" ht="18">
      <c r="A14" s="59">
        <v>13</v>
      </c>
      <c r="B14" s="59" t="s">
        <v>197</v>
      </c>
      <c r="C14" s="60" t="s">
        <v>205</v>
      </c>
      <c r="D14" s="60" t="s">
        <v>206</v>
      </c>
      <c r="E14" s="59" t="s">
        <v>207</v>
      </c>
      <c r="F14" s="59" t="s">
        <v>22</v>
      </c>
      <c r="G14" s="63"/>
    </row>
    <row r="15" spans="1:7" ht="18">
      <c r="A15" s="59">
        <v>14</v>
      </c>
      <c r="B15" s="59" t="s">
        <v>197</v>
      </c>
      <c r="C15" s="60" t="s">
        <v>208</v>
      </c>
      <c r="D15" s="60" t="s">
        <v>209</v>
      </c>
      <c r="E15" s="59" t="s">
        <v>207</v>
      </c>
      <c r="F15" s="59" t="s">
        <v>45</v>
      </c>
      <c r="G15" s="63"/>
    </row>
    <row r="16" spans="1:7" ht="18">
      <c r="A16" s="59">
        <v>15</v>
      </c>
      <c r="B16" s="59" t="s">
        <v>99</v>
      </c>
      <c r="C16" s="60" t="s">
        <v>161</v>
      </c>
      <c r="D16" s="60" t="s">
        <v>162</v>
      </c>
      <c r="E16" s="59" t="s">
        <v>199</v>
      </c>
      <c r="F16" s="59" t="s">
        <v>223</v>
      </c>
      <c r="G16" s="63"/>
    </row>
    <row r="17" spans="1:7" ht="18">
      <c r="A17" s="59">
        <v>16</v>
      </c>
      <c r="B17" s="59" t="s">
        <v>99</v>
      </c>
      <c r="C17" s="60" t="s">
        <v>225</v>
      </c>
      <c r="D17" s="60" t="s">
        <v>226</v>
      </c>
      <c r="E17" s="59" t="s">
        <v>199</v>
      </c>
      <c r="F17" s="59" t="s">
        <v>22</v>
      </c>
      <c r="G17" s="63"/>
    </row>
    <row r="18" spans="1:7" ht="18">
      <c r="A18" s="59">
        <v>17</v>
      </c>
      <c r="B18" s="59" t="s">
        <v>99</v>
      </c>
      <c r="C18" s="60" t="s">
        <v>108</v>
      </c>
      <c r="D18" s="60" t="s">
        <v>227</v>
      </c>
      <c r="E18" s="59" t="s">
        <v>207</v>
      </c>
      <c r="F18" s="59" t="s">
        <v>22</v>
      </c>
      <c r="G18" s="63"/>
    </row>
    <row r="19" spans="1:7" ht="18">
      <c r="A19" s="59">
        <v>18</v>
      </c>
      <c r="B19" s="59" t="s">
        <v>99</v>
      </c>
      <c r="C19" s="60" t="s">
        <v>228</v>
      </c>
      <c r="D19" s="60" t="s">
        <v>229</v>
      </c>
      <c r="E19" s="59" t="s">
        <v>207</v>
      </c>
      <c r="F19" s="59" t="s">
        <v>22</v>
      </c>
      <c r="G19" s="63"/>
    </row>
    <row r="20" spans="1:7" ht="18">
      <c r="A20" s="59">
        <v>19</v>
      </c>
      <c r="B20" s="59" t="s">
        <v>197</v>
      </c>
      <c r="C20" s="60" t="s">
        <v>210</v>
      </c>
      <c r="D20" s="60" t="s">
        <v>211</v>
      </c>
      <c r="E20" s="59" t="s">
        <v>19</v>
      </c>
      <c r="F20" s="59" t="s">
        <v>189</v>
      </c>
      <c r="G20" s="63"/>
    </row>
    <row r="21" spans="1:7" ht="18">
      <c r="A21" s="59">
        <v>20</v>
      </c>
      <c r="B21" s="59" t="s">
        <v>230</v>
      </c>
      <c r="C21" s="60" t="s">
        <v>231</v>
      </c>
      <c r="D21" s="60" t="s">
        <v>232</v>
      </c>
      <c r="E21" s="59" t="s">
        <v>19</v>
      </c>
      <c r="F21" s="59" t="s">
        <v>189</v>
      </c>
      <c r="G21" s="63"/>
    </row>
    <row r="22" spans="1:7" ht="18">
      <c r="A22" s="59">
        <v>21</v>
      </c>
      <c r="B22" s="59" t="s">
        <v>15</v>
      </c>
      <c r="C22" s="60" t="s">
        <v>16</v>
      </c>
      <c r="D22" s="60" t="s">
        <v>17</v>
      </c>
      <c r="E22" s="59" t="s">
        <v>19</v>
      </c>
      <c r="F22" s="59" t="s">
        <v>22</v>
      </c>
      <c r="G22" s="64"/>
    </row>
    <row r="23" spans="1:7" ht="18">
      <c r="A23" s="59">
        <v>22</v>
      </c>
      <c r="B23" s="59" t="s">
        <v>15</v>
      </c>
      <c r="C23" s="60" t="s">
        <v>25</v>
      </c>
      <c r="D23" s="60" t="s">
        <v>26</v>
      </c>
      <c r="E23" s="59" t="s">
        <v>28</v>
      </c>
      <c r="F23" s="59" t="s">
        <v>22</v>
      </c>
      <c r="G23" s="64"/>
    </row>
    <row r="24" spans="1:7" ht="18">
      <c r="A24" s="59">
        <v>23</v>
      </c>
      <c r="B24" s="59" t="s">
        <v>15</v>
      </c>
      <c r="C24" s="60" t="s">
        <v>33</v>
      </c>
      <c r="D24" s="60" t="s">
        <v>34</v>
      </c>
      <c r="E24" s="59" t="s">
        <v>28</v>
      </c>
      <c r="F24" s="59" t="s">
        <v>22</v>
      </c>
      <c r="G24" s="64"/>
    </row>
    <row r="25" spans="1:7" ht="18">
      <c r="A25" s="59">
        <v>24</v>
      </c>
      <c r="B25" s="59" t="s">
        <v>15</v>
      </c>
      <c r="C25" s="60" t="s">
        <v>37</v>
      </c>
      <c r="D25" s="60" t="s">
        <v>38</v>
      </c>
      <c r="E25" s="59" t="s">
        <v>28</v>
      </c>
      <c r="F25" s="59" t="s">
        <v>22</v>
      </c>
      <c r="G25" s="64"/>
    </row>
    <row r="26" spans="1:7" ht="18">
      <c r="A26" s="59">
        <v>25</v>
      </c>
      <c r="B26" s="59" t="s">
        <v>15</v>
      </c>
      <c r="C26" s="60" t="s">
        <v>41</v>
      </c>
      <c r="D26" s="60" t="s">
        <v>42</v>
      </c>
      <c r="E26" s="59" t="s">
        <v>28</v>
      </c>
      <c r="F26" s="59" t="s">
        <v>45</v>
      </c>
      <c r="G26" s="64"/>
    </row>
    <row r="27" spans="1:7" ht="18">
      <c r="A27" s="59">
        <v>26</v>
      </c>
      <c r="B27" s="59" t="s">
        <v>15</v>
      </c>
      <c r="C27" s="60" t="s">
        <v>48</v>
      </c>
      <c r="D27" s="60" t="s">
        <v>49</v>
      </c>
      <c r="E27" s="59" t="s">
        <v>28</v>
      </c>
      <c r="F27" s="59" t="s">
        <v>189</v>
      </c>
      <c r="G27" s="64"/>
    </row>
    <row r="28" spans="1:7" ht="18">
      <c r="A28" s="59">
        <v>27</v>
      </c>
      <c r="B28" s="59" t="s">
        <v>15</v>
      </c>
      <c r="C28" s="60" t="s">
        <v>54</v>
      </c>
      <c r="D28" s="60" t="s">
        <v>55</v>
      </c>
      <c r="E28" s="59" t="s">
        <v>28</v>
      </c>
      <c r="F28" s="59" t="s">
        <v>22</v>
      </c>
      <c r="G28" s="65"/>
    </row>
    <row r="29" spans="1:7" ht="18">
      <c r="A29" s="59">
        <v>28</v>
      </c>
      <c r="B29" s="59" t="s">
        <v>15</v>
      </c>
      <c r="C29" s="60" t="s">
        <v>59</v>
      </c>
      <c r="D29" s="60" t="s">
        <v>60</v>
      </c>
      <c r="E29" s="59" t="s">
        <v>19</v>
      </c>
      <c r="F29" s="59" t="s">
        <v>22</v>
      </c>
      <c r="G29" s="65"/>
    </row>
    <row r="30" spans="1:7" ht="18">
      <c r="A30" s="59">
        <v>29</v>
      </c>
      <c r="B30" s="59" t="s">
        <v>15</v>
      </c>
      <c r="C30" s="60" t="s">
        <v>65</v>
      </c>
      <c r="D30" s="60" t="s">
        <v>66</v>
      </c>
      <c r="E30" s="59" t="s">
        <v>28</v>
      </c>
      <c r="F30" s="59" t="s">
        <v>22</v>
      </c>
      <c r="G30" s="65"/>
    </row>
    <row r="31" spans="1:7" ht="18">
      <c r="A31" s="59">
        <v>30</v>
      </c>
      <c r="B31" s="59" t="s">
        <v>15</v>
      </c>
      <c r="C31" s="60" t="s">
        <v>71</v>
      </c>
      <c r="D31" s="60" t="s">
        <v>72</v>
      </c>
      <c r="E31" s="59" t="s">
        <v>28</v>
      </c>
      <c r="F31" s="59" t="s">
        <v>22</v>
      </c>
      <c r="G31" s="65"/>
    </row>
    <row r="32" spans="1:7" ht="18">
      <c r="A32" s="59">
        <v>31</v>
      </c>
      <c r="B32" s="59" t="s">
        <v>15</v>
      </c>
      <c r="C32" s="60" t="s">
        <v>77</v>
      </c>
      <c r="D32" s="60" t="s">
        <v>78</v>
      </c>
      <c r="E32" s="59" t="s">
        <v>19</v>
      </c>
      <c r="F32" s="59" t="s">
        <v>22</v>
      </c>
      <c r="G32" s="65"/>
    </row>
    <row r="33" spans="1:7" ht="18">
      <c r="A33" s="59">
        <v>32</v>
      </c>
      <c r="B33" s="59" t="s">
        <v>15</v>
      </c>
      <c r="C33" s="60" t="s">
        <v>81</v>
      </c>
      <c r="D33" s="60" t="s">
        <v>82</v>
      </c>
      <c r="E33" s="59" t="s">
        <v>28</v>
      </c>
      <c r="F33" s="59" t="s">
        <v>189</v>
      </c>
      <c r="G33" s="65"/>
    </row>
    <row r="34" spans="1:7" ht="18">
      <c r="A34" s="59">
        <v>33</v>
      </c>
      <c r="B34" s="59" t="s">
        <v>15</v>
      </c>
      <c r="C34" s="60" t="s">
        <v>127</v>
      </c>
      <c r="D34" s="60" t="s">
        <v>128</v>
      </c>
      <c r="E34" s="59" t="s">
        <v>19</v>
      </c>
      <c r="F34" s="59" t="s">
        <v>22</v>
      </c>
      <c r="G34" s="65"/>
    </row>
    <row r="35" spans="1:7" ht="18">
      <c r="A35" s="59">
        <v>34</v>
      </c>
      <c r="B35" s="59" t="s">
        <v>15</v>
      </c>
      <c r="C35" s="60" t="s">
        <v>95</v>
      </c>
      <c r="D35" s="60" t="s">
        <v>132</v>
      </c>
      <c r="E35" s="59" t="s">
        <v>19</v>
      </c>
      <c r="F35" s="59" t="s">
        <v>89</v>
      </c>
      <c r="G35" s="65"/>
    </row>
    <row r="36" spans="1:7" ht="18">
      <c r="A36" s="59">
        <v>35</v>
      </c>
      <c r="B36" s="59" t="s">
        <v>15</v>
      </c>
      <c r="C36" s="60" t="s">
        <v>97</v>
      </c>
      <c r="D36" s="60" t="s">
        <v>134</v>
      </c>
      <c r="E36" s="59" t="s">
        <v>19</v>
      </c>
      <c r="F36" s="59" t="s">
        <v>189</v>
      </c>
      <c r="G36" s="65"/>
    </row>
    <row r="37" spans="1:7" ht="18">
      <c r="A37" s="59">
        <v>36</v>
      </c>
      <c r="B37" s="59" t="s">
        <v>230</v>
      </c>
      <c r="C37" s="60" t="s">
        <v>233</v>
      </c>
      <c r="D37" s="60" t="s">
        <v>234</v>
      </c>
      <c r="E37" s="59" t="s">
        <v>28</v>
      </c>
      <c r="F37" s="59" t="s">
        <v>189</v>
      </c>
      <c r="G37" s="63"/>
    </row>
    <row r="38" spans="1:7" ht="18">
      <c r="A38" s="59">
        <v>37</v>
      </c>
      <c r="B38" s="59" t="s">
        <v>230</v>
      </c>
      <c r="C38" s="60" t="s">
        <v>235</v>
      </c>
      <c r="D38" s="60" t="s">
        <v>236</v>
      </c>
      <c r="E38" s="59" t="s">
        <v>28</v>
      </c>
      <c r="F38" s="59" t="s">
        <v>89</v>
      </c>
      <c r="G38" s="63"/>
    </row>
    <row r="39" spans="1:7" ht="18">
      <c r="A39" s="59">
        <v>38</v>
      </c>
      <c r="B39" s="59" t="s">
        <v>230</v>
      </c>
      <c r="C39" s="60" t="s">
        <v>237</v>
      </c>
      <c r="D39" s="60" t="s">
        <v>238</v>
      </c>
      <c r="E39" s="59" t="s">
        <v>19</v>
      </c>
      <c r="F39" s="59" t="s">
        <v>45</v>
      </c>
      <c r="G39" s="63"/>
    </row>
    <row r="40" spans="1:7" ht="18">
      <c r="A40" s="59">
        <v>39</v>
      </c>
      <c r="B40" s="59" t="s">
        <v>230</v>
      </c>
      <c r="C40" s="60" t="s">
        <v>239</v>
      </c>
      <c r="D40" s="60" t="s">
        <v>240</v>
      </c>
      <c r="E40" s="59" t="s">
        <v>28</v>
      </c>
      <c r="F40" s="59" t="s">
        <v>45</v>
      </c>
      <c r="G40" s="63"/>
    </row>
    <row r="41" spans="1:7" ht="18">
      <c r="A41" s="59">
        <v>40</v>
      </c>
      <c r="B41" s="59" t="s">
        <v>230</v>
      </c>
      <c r="C41" s="60" t="s">
        <v>241</v>
      </c>
      <c r="D41" s="60" t="s">
        <v>242</v>
      </c>
      <c r="E41" s="59" t="s">
        <v>28</v>
      </c>
      <c r="F41" s="59" t="s">
        <v>223</v>
      </c>
      <c r="G41" s="63"/>
    </row>
    <row r="42" spans="1:7" ht="18">
      <c r="A42" s="59">
        <v>41</v>
      </c>
      <c r="B42" s="59" t="s">
        <v>230</v>
      </c>
      <c r="C42" s="60" t="s">
        <v>243</v>
      </c>
      <c r="D42" s="60" t="s">
        <v>244</v>
      </c>
      <c r="E42" s="59" t="s">
        <v>28</v>
      </c>
      <c r="F42" s="59" t="s">
        <v>224</v>
      </c>
      <c r="G42" s="63"/>
    </row>
    <row r="43" spans="1:7" ht="18">
      <c r="A43" s="59">
        <v>42</v>
      </c>
      <c r="B43" s="59" t="s">
        <v>245</v>
      </c>
      <c r="C43" s="60" t="s">
        <v>246</v>
      </c>
      <c r="D43" s="60" t="s">
        <v>247</v>
      </c>
      <c r="E43" s="59" t="s">
        <v>28</v>
      </c>
      <c r="F43" s="59" t="s">
        <v>22</v>
      </c>
      <c r="G43" s="66"/>
    </row>
    <row r="44" spans="1:7" ht="18">
      <c r="A44" s="59">
        <v>43</v>
      </c>
      <c r="B44" s="59" t="s">
        <v>245</v>
      </c>
      <c r="C44" s="60" t="s">
        <v>248</v>
      </c>
      <c r="D44" s="60" t="s">
        <v>249</v>
      </c>
      <c r="E44" s="59" t="s">
        <v>28</v>
      </c>
      <c r="F44" s="59" t="s">
        <v>22</v>
      </c>
      <c r="G44" s="66"/>
    </row>
    <row r="45" spans="1:7" ht="18">
      <c r="A45" s="59">
        <v>44</v>
      </c>
      <c r="B45" s="59" t="s">
        <v>245</v>
      </c>
      <c r="C45" s="60" t="s">
        <v>250</v>
      </c>
      <c r="D45" s="60" t="s">
        <v>251</v>
      </c>
      <c r="E45" s="59" t="s">
        <v>28</v>
      </c>
      <c r="F45" s="59" t="s">
        <v>22</v>
      </c>
      <c r="G45" s="66"/>
    </row>
    <row r="46" spans="1:7" ht="18">
      <c r="A46" s="59">
        <v>45</v>
      </c>
      <c r="B46" s="59" t="s">
        <v>245</v>
      </c>
      <c r="C46" s="60" t="s">
        <v>252</v>
      </c>
      <c r="D46" s="60" t="s">
        <v>253</v>
      </c>
      <c r="E46" s="59" t="s">
        <v>19</v>
      </c>
      <c r="F46" s="59" t="s">
        <v>22</v>
      </c>
      <c r="G46" s="66"/>
    </row>
    <row r="47" spans="1:7" ht="18">
      <c r="A47" s="59">
        <v>46</v>
      </c>
      <c r="B47" s="59" t="s">
        <v>245</v>
      </c>
      <c r="C47" s="60" t="s">
        <v>254</v>
      </c>
      <c r="D47" s="60" t="s">
        <v>255</v>
      </c>
      <c r="E47" s="59" t="s">
        <v>19</v>
      </c>
      <c r="F47" s="59" t="s">
        <v>22</v>
      </c>
      <c r="G47" s="66"/>
    </row>
    <row r="48" spans="1:7" ht="18">
      <c r="A48" s="59">
        <v>47</v>
      </c>
      <c r="B48" s="59" t="s">
        <v>245</v>
      </c>
      <c r="C48" s="60" t="s">
        <v>107</v>
      </c>
      <c r="D48" s="60" t="s">
        <v>152</v>
      </c>
      <c r="E48" s="59" t="s">
        <v>28</v>
      </c>
      <c r="F48" s="59" t="s">
        <v>22</v>
      </c>
      <c r="G48" s="66"/>
    </row>
    <row r="49" spans="1:7" ht="18">
      <c r="A49" s="59">
        <v>48</v>
      </c>
      <c r="B49" s="59" t="s">
        <v>245</v>
      </c>
      <c r="C49" s="60" t="s">
        <v>256</v>
      </c>
      <c r="D49" s="60" t="s">
        <v>257</v>
      </c>
      <c r="E49" s="59" t="s">
        <v>28</v>
      </c>
      <c r="F49" s="59" t="s">
        <v>22</v>
      </c>
      <c r="G49" s="66"/>
    </row>
  </sheetData>
  <autoFilter ref="A1:G49" xr:uid="{6449C7F7-9B59-46E5-8203-6F9621E03220}"/>
  <printOptions horizontalCentered="1"/>
  <pageMargins left="0.70866141732283472" right="0.70866141732283472" top="0.74803149606299213" bottom="0.74803149606299213" header="0.31496062992125984" footer="0.31496062992125984"/>
  <pageSetup paperSize="9" scale="71" fitToWidth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5B98-E7E2-4A01-A630-77F269E2AB23}">
  <dimension ref="A1:O42"/>
  <sheetViews>
    <sheetView zoomScale="90" zoomScaleNormal="90" zoomScaleSheetLayoutView="80" workbookViewId="0">
      <pane ySplit="2" topLeftCell="A33" activePane="bottomLeft" state="frozen"/>
      <selection pane="bottomLeft" activeCell="E38" sqref="E38"/>
    </sheetView>
  </sheetViews>
  <sheetFormatPr baseColWidth="10" defaultColWidth="8.83203125" defaultRowHeight="18"/>
  <cols>
    <col min="1" max="1" width="8.83203125" style="41"/>
    <col min="2" max="2" width="18.5" style="40" customWidth="1"/>
    <col min="3" max="3" width="13.5" style="41" customWidth="1"/>
    <col min="4" max="4" width="11.1640625" style="40" bestFit="1" customWidth="1"/>
    <col min="5" max="5" width="16.83203125" style="40" customWidth="1"/>
    <col min="6" max="6" width="44" style="40" customWidth="1"/>
    <col min="7" max="7" width="22.83203125" style="41" customWidth="1"/>
    <col min="8" max="8" width="12.5" style="41" customWidth="1"/>
    <col min="9" max="9" width="28.5" style="41" customWidth="1"/>
    <col min="10" max="11" width="11.5" style="41" customWidth="1"/>
    <col min="12" max="12" width="8.83203125" style="41" customWidth="1"/>
    <col min="13" max="13" width="15.83203125" style="41" customWidth="1"/>
    <col min="14" max="14" width="12" style="41" customWidth="1"/>
    <col min="15" max="15" width="16.1640625" style="40" customWidth="1"/>
    <col min="16" max="16384" width="8.83203125" style="40"/>
  </cols>
  <sheetData>
    <row r="1" spans="1:15" ht="42" customHeight="1">
      <c r="A1" s="45" t="s">
        <v>287</v>
      </c>
      <c r="B1" s="42"/>
      <c r="C1" s="44"/>
      <c r="D1" s="42"/>
      <c r="E1" s="42"/>
      <c r="F1" s="42"/>
      <c r="G1" s="44"/>
      <c r="H1" s="44"/>
      <c r="I1" s="44"/>
      <c r="J1" s="44"/>
      <c r="K1" s="44"/>
      <c r="L1" s="44"/>
      <c r="M1" s="44"/>
      <c r="N1" s="44"/>
      <c r="O1" s="44"/>
    </row>
    <row r="2" spans="1:15">
      <c r="A2" s="43" t="s">
        <v>1</v>
      </c>
      <c r="B2" s="43" t="s">
        <v>288</v>
      </c>
      <c r="C2" s="43" t="s">
        <v>3</v>
      </c>
      <c r="D2" s="43" t="s">
        <v>4</v>
      </c>
      <c r="E2" s="43" t="s">
        <v>5</v>
      </c>
      <c r="F2" s="43" t="s">
        <v>6</v>
      </c>
      <c r="G2" s="43" t="s">
        <v>7</v>
      </c>
      <c r="H2" s="43" t="s">
        <v>186</v>
      </c>
      <c r="I2" s="43" t="s">
        <v>9</v>
      </c>
      <c r="J2" s="43" t="s">
        <v>10</v>
      </c>
      <c r="K2" s="43" t="s">
        <v>11</v>
      </c>
      <c r="L2" s="43" t="s">
        <v>12</v>
      </c>
      <c r="M2" s="43" t="s">
        <v>258</v>
      </c>
      <c r="N2" s="43" t="s">
        <v>13</v>
      </c>
      <c r="O2" s="43" t="s">
        <v>13</v>
      </c>
    </row>
    <row r="3" spans="1:15">
      <c r="A3" s="41">
        <v>1</v>
      </c>
      <c r="B3" s="40" t="s">
        <v>14</v>
      </c>
      <c r="C3" s="51" t="s">
        <v>15</v>
      </c>
      <c r="D3" s="40" t="s">
        <v>16</v>
      </c>
      <c r="E3" s="40" t="s">
        <v>17</v>
      </c>
      <c r="F3" s="40" t="s">
        <v>18</v>
      </c>
      <c r="G3" s="41" t="s">
        <v>19</v>
      </c>
      <c r="H3" s="41" t="s">
        <v>188</v>
      </c>
      <c r="I3" s="41" t="s">
        <v>21</v>
      </c>
      <c r="J3" s="41" t="s">
        <v>22</v>
      </c>
      <c r="K3" s="41" t="s">
        <v>23</v>
      </c>
      <c r="L3" s="41">
        <v>43</v>
      </c>
      <c r="M3" s="41" t="s">
        <v>260</v>
      </c>
      <c r="N3" s="41">
        <v>19</v>
      </c>
      <c r="O3" s="41" t="s">
        <v>268</v>
      </c>
    </row>
    <row r="4" spans="1:15">
      <c r="A4" s="41">
        <v>2</v>
      </c>
      <c r="B4" s="40" t="s">
        <v>24</v>
      </c>
      <c r="C4" s="51" t="s">
        <v>15</v>
      </c>
      <c r="D4" s="40" t="s">
        <v>25</v>
      </c>
      <c r="E4" s="40" t="s">
        <v>26</v>
      </c>
      <c r="F4" s="40" t="s">
        <v>27</v>
      </c>
      <c r="G4" s="41" t="s">
        <v>28</v>
      </c>
      <c r="H4" s="41" t="s">
        <v>29</v>
      </c>
      <c r="I4" s="41" t="s">
        <v>30</v>
      </c>
      <c r="J4" s="41" t="s">
        <v>22</v>
      </c>
      <c r="K4" s="41" t="s">
        <v>31</v>
      </c>
      <c r="L4" s="41">
        <v>47</v>
      </c>
      <c r="M4" s="41" t="s">
        <v>265</v>
      </c>
      <c r="N4" s="41">
        <v>18</v>
      </c>
      <c r="O4" s="41" t="s">
        <v>268</v>
      </c>
    </row>
    <row r="5" spans="1:15">
      <c r="A5" s="41">
        <v>3</v>
      </c>
      <c r="B5" s="40" t="s">
        <v>32</v>
      </c>
      <c r="C5" s="51" t="s">
        <v>15</v>
      </c>
      <c r="D5" s="40" t="s">
        <v>33</v>
      </c>
      <c r="E5" s="40" t="s">
        <v>34</v>
      </c>
      <c r="F5" s="40" t="s">
        <v>27</v>
      </c>
      <c r="G5" s="41" t="s">
        <v>28</v>
      </c>
      <c r="H5" s="41" t="s">
        <v>29</v>
      </c>
      <c r="I5" s="41" t="s">
        <v>30</v>
      </c>
      <c r="J5" s="41" t="s">
        <v>22</v>
      </c>
      <c r="K5" s="41" t="s">
        <v>35</v>
      </c>
      <c r="L5" s="41">
        <v>37</v>
      </c>
      <c r="M5" s="41" t="s">
        <v>260</v>
      </c>
      <c r="N5" s="41">
        <v>7</v>
      </c>
      <c r="O5" s="41" t="s">
        <v>262</v>
      </c>
    </row>
    <row r="6" spans="1:15">
      <c r="A6" s="41">
        <v>4</v>
      </c>
      <c r="B6" s="40" t="s">
        <v>36</v>
      </c>
      <c r="C6" s="51" t="s">
        <v>15</v>
      </c>
      <c r="D6" s="40" t="s">
        <v>37</v>
      </c>
      <c r="E6" s="40" t="s">
        <v>38</v>
      </c>
      <c r="F6" s="40" t="s">
        <v>27</v>
      </c>
      <c r="G6" s="41" t="s">
        <v>28</v>
      </c>
      <c r="H6" s="41" t="s">
        <v>29</v>
      </c>
      <c r="I6" s="41" t="s">
        <v>30</v>
      </c>
      <c r="J6" s="41" t="s">
        <v>22</v>
      </c>
      <c r="K6" s="41" t="s">
        <v>39</v>
      </c>
      <c r="L6" s="41">
        <v>46</v>
      </c>
      <c r="M6" s="41" t="s">
        <v>265</v>
      </c>
      <c r="N6" s="41">
        <v>18</v>
      </c>
      <c r="O6" s="41" t="s">
        <v>268</v>
      </c>
    </row>
    <row r="7" spans="1:15">
      <c r="A7" s="41">
        <v>5</v>
      </c>
      <c r="B7" s="40" t="s">
        <v>40</v>
      </c>
      <c r="C7" s="51" t="s">
        <v>15</v>
      </c>
      <c r="D7" s="40" t="s">
        <v>41</v>
      </c>
      <c r="E7" s="40" t="s">
        <v>42</v>
      </c>
      <c r="F7" s="40" t="s">
        <v>43</v>
      </c>
      <c r="G7" s="41" t="s">
        <v>28</v>
      </c>
      <c r="H7" s="41" t="s">
        <v>188</v>
      </c>
      <c r="I7" s="41" t="s">
        <v>44</v>
      </c>
      <c r="J7" s="41" t="s">
        <v>45</v>
      </c>
      <c r="K7" s="41" t="s">
        <v>46</v>
      </c>
      <c r="L7" s="41">
        <v>36</v>
      </c>
      <c r="M7" s="41" t="s">
        <v>260</v>
      </c>
      <c r="N7" s="41">
        <v>11</v>
      </c>
      <c r="O7" s="41" t="s">
        <v>263</v>
      </c>
    </row>
    <row r="8" spans="1:15">
      <c r="A8" s="41">
        <v>6</v>
      </c>
      <c r="B8" s="40" t="s">
        <v>47</v>
      </c>
      <c r="C8" s="51" t="s">
        <v>15</v>
      </c>
      <c r="D8" s="40" t="s">
        <v>48</v>
      </c>
      <c r="E8" s="40" t="s">
        <v>49</v>
      </c>
      <c r="F8" s="49"/>
      <c r="G8" s="41" t="s">
        <v>28</v>
      </c>
      <c r="H8" s="41" t="s">
        <v>29</v>
      </c>
      <c r="I8" s="41" t="s">
        <v>51</v>
      </c>
      <c r="J8" s="41" t="s">
        <v>189</v>
      </c>
      <c r="K8" s="41" t="s">
        <v>23</v>
      </c>
      <c r="L8" s="41">
        <v>33</v>
      </c>
      <c r="M8" s="41" t="s">
        <v>260</v>
      </c>
      <c r="N8" s="41">
        <v>8</v>
      </c>
      <c r="O8" s="41" t="s">
        <v>262</v>
      </c>
    </row>
    <row r="9" spans="1:15">
      <c r="A9" s="41">
        <v>7</v>
      </c>
      <c r="B9" s="40" t="s">
        <v>53</v>
      </c>
      <c r="C9" s="51" t="s">
        <v>15</v>
      </c>
      <c r="D9" s="40" t="s">
        <v>54</v>
      </c>
      <c r="E9" s="40" t="s">
        <v>55</v>
      </c>
      <c r="F9" s="40" t="s">
        <v>56</v>
      </c>
      <c r="G9" s="41" t="s">
        <v>28</v>
      </c>
      <c r="H9" s="41" t="s">
        <v>29</v>
      </c>
      <c r="I9" s="41" t="s">
        <v>57</v>
      </c>
      <c r="J9" s="41" t="s">
        <v>22</v>
      </c>
      <c r="K9" s="41" t="s">
        <v>23</v>
      </c>
      <c r="L9" s="41">
        <v>43</v>
      </c>
      <c r="M9" s="41" t="s">
        <v>260</v>
      </c>
      <c r="N9" s="41">
        <v>21</v>
      </c>
      <c r="O9" s="41" t="s">
        <v>261</v>
      </c>
    </row>
    <row r="10" spans="1:15">
      <c r="A10" s="41">
        <v>8</v>
      </c>
      <c r="B10" s="40" t="s">
        <v>58</v>
      </c>
      <c r="C10" s="51" t="s">
        <v>15</v>
      </c>
      <c r="D10" s="40" t="s">
        <v>59</v>
      </c>
      <c r="E10" s="40" t="s">
        <v>60</v>
      </c>
      <c r="F10" s="40" t="s">
        <v>61</v>
      </c>
      <c r="G10" s="41" t="s">
        <v>19</v>
      </c>
      <c r="H10" s="41" t="s">
        <v>29</v>
      </c>
      <c r="I10" s="41" t="s">
        <v>62</v>
      </c>
      <c r="J10" s="41" t="s">
        <v>22</v>
      </c>
      <c r="K10" s="41" t="s">
        <v>63</v>
      </c>
      <c r="L10" s="41">
        <v>31</v>
      </c>
      <c r="M10" s="41" t="s">
        <v>260</v>
      </c>
      <c r="N10" s="41">
        <v>8</v>
      </c>
      <c r="O10" s="41" t="s">
        <v>262</v>
      </c>
    </row>
    <row r="11" spans="1:15">
      <c r="A11" s="41">
        <v>9</v>
      </c>
      <c r="B11" s="40" t="s">
        <v>64</v>
      </c>
      <c r="C11" s="51" t="s">
        <v>15</v>
      </c>
      <c r="D11" s="40" t="s">
        <v>65</v>
      </c>
      <c r="E11" s="40" t="s">
        <v>66</v>
      </c>
      <c r="F11" s="40" t="s">
        <v>67</v>
      </c>
      <c r="G11" s="41" t="s">
        <v>28</v>
      </c>
      <c r="H11" s="41" t="s">
        <v>29</v>
      </c>
      <c r="I11" s="41" t="s">
        <v>68</v>
      </c>
      <c r="J11" s="41" t="s">
        <v>22</v>
      </c>
      <c r="K11" s="41" t="s">
        <v>69</v>
      </c>
      <c r="L11" s="41">
        <v>40</v>
      </c>
      <c r="M11" s="41" t="s">
        <v>260</v>
      </c>
      <c r="N11" s="41">
        <v>12</v>
      </c>
      <c r="O11" s="41" t="s">
        <v>263</v>
      </c>
    </row>
    <row r="12" spans="1:15">
      <c r="A12" s="41">
        <v>10</v>
      </c>
      <c r="B12" s="40" t="s">
        <v>70</v>
      </c>
      <c r="C12" s="51" t="s">
        <v>15</v>
      </c>
      <c r="D12" s="40" t="s">
        <v>71</v>
      </c>
      <c r="E12" s="40" t="s">
        <v>72</v>
      </c>
      <c r="F12" s="40" t="s">
        <v>73</v>
      </c>
      <c r="G12" s="41" t="s">
        <v>28</v>
      </c>
      <c r="H12" s="41" t="s">
        <v>29</v>
      </c>
      <c r="I12" s="41" t="s">
        <v>74</v>
      </c>
      <c r="J12" s="41" t="s">
        <v>22</v>
      </c>
      <c r="K12" s="41" t="s">
        <v>75</v>
      </c>
      <c r="L12" s="41">
        <v>29</v>
      </c>
      <c r="M12" s="41" t="s">
        <v>260</v>
      </c>
      <c r="N12" s="41">
        <v>6</v>
      </c>
      <c r="O12" s="41" t="s">
        <v>262</v>
      </c>
    </row>
    <row r="13" spans="1:15">
      <c r="A13" s="41">
        <v>11</v>
      </c>
      <c r="B13" s="40" t="s">
        <v>76</v>
      </c>
      <c r="C13" s="51" t="s">
        <v>15</v>
      </c>
      <c r="D13" s="40" t="s">
        <v>77</v>
      </c>
      <c r="E13" s="40" t="s">
        <v>78</v>
      </c>
      <c r="F13" s="40" t="s">
        <v>79</v>
      </c>
      <c r="G13" s="41" t="s">
        <v>19</v>
      </c>
      <c r="H13" s="41" t="s">
        <v>29</v>
      </c>
      <c r="I13" s="41" t="s">
        <v>74</v>
      </c>
      <c r="J13" s="41" t="s">
        <v>22</v>
      </c>
      <c r="K13" s="41" t="s">
        <v>23</v>
      </c>
      <c r="L13" s="41">
        <v>32</v>
      </c>
      <c r="M13" s="41" t="s">
        <v>260</v>
      </c>
      <c r="N13" s="41">
        <v>6</v>
      </c>
      <c r="O13" s="41" t="s">
        <v>262</v>
      </c>
    </row>
    <row r="14" spans="1:15">
      <c r="A14" s="41">
        <v>12</v>
      </c>
      <c r="B14" s="40" t="s">
        <v>80</v>
      </c>
      <c r="C14" s="51" t="s">
        <v>15</v>
      </c>
      <c r="D14" s="40" t="s">
        <v>81</v>
      </c>
      <c r="E14" s="40" t="s">
        <v>82</v>
      </c>
      <c r="F14" s="40" t="s">
        <v>190</v>
      </c>
      <c r="G14" s="41" t="s">
        <v>28</v>
      </c>
      <c r="H14" s="41" t="s">
        <v>29</v>
      </c>
      <c r="I14" s="41" t="s">
        <v>74</v>
      </c>
      <c r="J14" s="41" t="s">
        <v>189</v>
      </c>
      <c r="K14" s="41" t="s">
        <v>23</v>
      </c>
      <c r="L14" s="41">
        <v>26</v>
      </c>
      <c r="M14" s="41" t="s">
        <v>272</v>
      </c>
      <c r="N14" s="41">
        <v>3</v>
      </c>
      <c r="O14" s="41" t="s">
        <v>269</v>
      </c>
    </row>
    <row r="15" spans="1:15">
      <c r="A15" s="41">
        <v>13</v>
      </c>
      <c r="B15" s="40" t="s">
        <v>90</v>
      </c>
      <c r="C15" s="51" t="s">
        <v>15</v>
      </c>
      <c r="D15" s="40" t="s">
        <v>127</v>
      </c>
      <c r="E15" s="40" t="s">
        <v>128</v>
      </c>
      <c r="F15" s="40" t="s">
        <v>191</v>
      </c>
      <c r="G15" s="41" t="s">
        <v>19</v>
      </c>
      <c r="H15" s="41" t="s">
        <v>188</v>
      </c>
      <c r="I15" s="41" t="s">
        <v>192</v>
      </c>
      <c r="J15" s="41" t="s">
        <v>22</v>
      </c>
      <c r="K15" s="41" t="s">
        <v>276</v>
      </c>
      <c r="L15" s="41">
        <v>34</v>
      </c>
      <c r="M15" s="41" t="s">
        <v>260</v>
      </c>
      <c r="N15" s="41">
        <v>2</v>
      </c>
      <c r="O15" s="41" t="s">
        <v>269</v>
      </c>
    </row>
    <row r="16" spans="1:15">
      <c r="A16" s="41">
        <v>14</v>
      </c>
      <c r="B16" s="40" t="s">
        <v>92</v>
      </c>
      <c r="C16" s="51" t="s">
        <v>15</v>
      </c>
      <c r="D16" s="40" t="s">
        <v>93</v>
      </c>
      <c r="E16" s="40" t="str">
        <f>VLOOKUP(D:D,[1]Data!$F:$G,2,0)</f>
        <v>Nilapong</v>
      </c>
      <c r="F16" s="40" t="s">
        <v>193</v>
      </c>
      <c r="G16" s="41" t="s">
        <v>19</v>
      </c>
      <c r="H16" s="41" t="s">
        <v>29</v>
      </c>
      <c r="I16" s="41" t="s">
        <v>62</v>
      </c>
      <c r="J16" s="41" t="s">
        <v>22</v>
      </c>
      <c r="K16" s="41" t="s">
        <v>23</v>
      </c>
      <c r="L16" s="41">
        <v>39</v>
      </c>
      <c r="M16" s="41" t="s">
        <v>260</v>
      </c>
      <c r="N16" s="41">
        <v>11</v>
      </c>
      <c r="O16" s="41" t="s">
        <v>263</v>
      </c>
    </row>
    <row r="17" spans="1:15">
      <c r="A17" s="41">
        <v>15</v>
      </c>
      <c r="B17" s="40" t="s">
        <v>94</v>
      </c>
      <c r="C17" s="51" t="s">
        <v>15</v>
      </c>
      <c r="D17" s="40" t="s">
        <v>95</v>
      </c>
      <c r="E17" s="40" t="str">
        <f>VLOOKUP(D:D,[1]Data!$F:$G,2,0)</f>
        <v>Ayuvatthana</v>
      </c>
      <c r="F17" s="40" t="s">
        <v>193</v>
      </c>
      <c r="G17" s="41" t="s">
        <v>19</v>
      </c>
      <c r="H17" s="41" t="s">
        <v>188</v>
      </c>
      <c r="I17" s="41" t="s">
        <v>194</v>
      </c>
      <c r="J17" s="41" t="s">
        <v>22</v>
      </c>
      <c r="K17" s="41" t="s">
        <v>63</v>
      </c>
      <c r="L17" s="41">
        <v>37</v>
      </c>
      <c r="M17" s="41" t="s">
        <v>260</v>
      </c>
      <c r="N17" s="41">
        <v>4</v>
      </c>
      <c r="O17" s="41" t="s">
        <v>269</v>
      </c>
    </row>
    <row r="18" spans="1:15">
      <c r="A18" s="41">
        <v>16</v>
      </c>
      <c r="B18" s="40" t="s">
        <v>96</v>
      </c>
      <c r="C18" s="51" t="s">
        <v>15</v>
      </c>
      <c r="D18" s="40" t="s">
        <v>97</v>
      </c>
      <c r="E18" s="40" t="s">
        <v>134</v>
      </c>
      <c r="F18" s="40" t="s">
        <v>195</v>
      </c>
      <c r="G18" s="41" t="s">
        <v>19</v>
      </c>
      <c r="H18" s="41" t="s">
        <v>188</v>
      </c>
      <c r="I18" s="41" t="s">
        <v>196</v>
      </c>
      <c r="J18" s="41" t="s">
        <v>189</v>
      </c>
      <c r="K18" s="41" t="s">
        <v>275</v>
      </c>
      <c r="L18" s="41">
        <v>52</v>
      </c>
      <c r="M18" s="41" t="s">
        <v>265</v>
      </c>
      <c r="N18" s="41">
        <v>31</v>
      </c>
      <c r="O18" s="41" t="s">
        <v>261</v>
      </c>
    </row>
    <row r="19" spans="1:15">
      <c r="A19" s="41">
        <v>17</v>
      </c>
      <c r="B19" s="40" t="s">
        <v>57</v>
      </c>
      <c r="C19" s="51" t="s">
        <v>99</v>
      </c>
      <c r="D19" s="40" t="s">
        <v>142</v>
      </c>
      <c r="E19" s="40" t="str">
        <f>VLOOKUP(D:D,[1]Data!$F:$G,2,0)</f>
        <v>Faktim</v>
      </c>
      <c r="F19" s="40" t="s">
        <v>200</v>
      </c>
      <c r="G19" s="41" t="s">
        <v>199</v>
      </c>
      <c r="H19" s="41" t="s">
        <v>29</v>
      </c>
      <c r="I19" s="41" t="s">
        <v>57</v>
      </c>
      <c r="J19" s="41" t="s">
        <v>22</v>
      </c>
      <c r="K19" s="41" t="s">
        <v>276</v>
      </c>
      <c r="L19" s="41">
        <v>43</v>
      </c>
      <c r="M19" s="41" t="s">
        <v>260</v>
      </c>
      <c r="N19" s="41">
        <v>17</v>
      </c>
      <c r="O19" s="41" t="s">
        <v>268</v>
      </c>
    </row>
    <row r="20" spans="1:15" s="53" customFormat="1">
      <c r="A20" s="41">
        <v>18</v>
      </c>
      <c r="B20" s="53" t="s">
        <v>158</v>
      </c>
      <c r="C20" s="56" t="s">
        <v>102</v>
      </c>
      <c r="D20" s="53" t="s">
        <v>158</v>
      </c>
      <c r="E20" s="53" t="s">
        <v>159</v>
      </c>
      <c r="F20" s="53" t="s">
        <v>266</v>
      </c>
      <c r="G20" s="41" t="s">
        <v>19</v>
      </c>
      <c r="H20" s="41" t="s">
        <v>29</v>
      </c>
      <c r="I20" s="52" t="s">
        <v>30</v>
      </c>
      <c r="J20" s="41" t="s">
        <v>22</v>
      </c>
      <c r="K20" s="52" t="s">
        <v>267</v>
      </c>
      <c r="L20" s="52">
        <v>48</v>
      </c>
      <c r="M20" s="41" t="s">
        <v>265</v>
      </c>
      <c r="N20" s="52">
        <v>23</v>
      </c>
      <c r="O20" s="41" t="s">
        <v>261</v>
      </c>
    </row>
    <row r="21" spans="1:15">
      <c r="A21" s="41">
        <v>19</v>
      </c>
      <c r="B21" s="40" t="s">
        <v>101</v>
      </c>
      <c r="C21" s="51" t="s">
        <v>102</v>
      </c>
      <c r="D21" s="40" t="s">
        <v>101</v>
      </c>
      <c r="E21" s="40" t="str">
        <f>VLOOKUP(D:D,[1]Data!$F:$G,2,0)</f>
        <v>Jaisung</v>
      </c>
      <c r="F21" s="40" t="s">
        <v>264</v>
      </c>
      <c r="G21" s="41" t="s">
        <v>19</v>
      </c>
      <c r="H21" s="41" t="s">
        <v>29</v>
      </c>
      <c r="I21" s="41" t="s">
        <v>68</v>
      </c>
      <c r="J21" s="41" t="s">
        <v>22</v>
      </c>
      <c r="K21" s="41" t="s">
        <v>63</v>
      </c>
      <c r="L21" s="41">
        <v>50</v>
      </c>
      <c r="M21" s="41" t="s">
        <v>265</v>
      </c>
      <c r="N21" s="41">
        <v>26</v>
      </c>
      <c r="O21" s="41" t="s">
        <v>261</v>
      </c>
    </row>
    <row r="22" spans="1:15">
      <c r="A22" s="41">
        <v>20</v>
      </c>
      <c r="B22" s="40" t="s">
        <v>161</v>
      </c>
      <c r="C22" s="55" t="s">
        <v>102</v>
      </c>
      <c r="D22" s="40" t="s">
        <v>161</v>
      </c>
      <c r="E22" s="40" t="s">
        <v>162</v>
      </c>
      <c r="F22" s="40" t="s">
        <v>277</v>
      </c>
      <c r="G22" s="41" t="s">
        <v>19</v>
      </c>
      <c r="H22" s="41" t="s">
        <v>29</v>
      </c>
      <c r="I22" s="41" t="s">
        <v>68</v>
      </c>
      <c r="J22" s="41" t="s">
        <v>22</v>
      </c>
      <c r="K22" s="41" t="s">
        <v>23</v>
      </c>
      <c r="L22" s="41">
        <v>37</v>
      </c>
      <c r="M22" s="41" t="s">
        <v>260</v>
      </c>
      <c r="N22" s="41">
        <v>12</v>
      </c>
      <c r="O22" s="41" t="s">
        <v>263</v>
      </c>
    </row>
    <row r="23" spans="1:15">
      <c r="A23" s="41">
        <v>21</v>
      </c>
      <c r="B23" s="40" t="s">
        <v>289</v>
      </c>
      <c r="C23" s="55" t="s">
        <v>102</v>
      </c>
      <c r="D23" s="40" t="s">
        <v>163</v>
      </c>
      <c r="E23" s="40" t="s">
        <v>164</v>
      </c>
      <c r="F23" s="40" t="s">
        <v>290</v>
      </c>
      <c r="G23" s="41" t="s">
        <v>28</v>
      </c>
      <c r="H23" s="41" t="s">
        <v>188</v>
      </c>
      <c r="I23" s="41" t="s">
        <v>98</v>
      </c>
      <c r="J23" s="41" t="s">
        <v>22</v>
      </c>
      <c r="K23" s="48"/>
      <c r="L23" s="41">
        <v>25</v>
      </c>
      <c r="M23" s="41" t="s">
        <v>272</v>
      </c>
      <c r="N23" s="41">
        <v>2</v>
      </c>
      <c r="O23" s="41" t="s">
        <v>269</v>
      </c>
    </row>
    <row r="24" spans="1:15">
      <c r="A24" s="41">
        <v>22</v>
      </c>
      <c r="B24" s="40" t="s">
        <v>166</v>
      </c>
      <c r="C24" s="55" t="s">
        <v>102</v>
      </c>
      <c r="D24" s="40" t="s">
        <v>166</v>
      </c>
      <c r="E24" s="40" t="s">
        <v>167</v>
      </c>
      <c r="F24" s="40" t="s">
        <v>279</v>
      </c>
      <c r="G24" s="41" t="s">
        <v>28</v>
      </c>
      <c r="H24" s="41" t="s">
        <v>188</v>
      </c>
      <c r="I24" s="41" t="s">
        <v>98</v>
      </c>
      <c r="J24" s="41" t="s">
        <v>22</v>
      </c>
      <c r="K24" s="41" t="s">
        <v>276</v>
      </c>
      <c r="L24" s="41">
        <v>29</v>
      </c>
      <c r="M24" s="41" t="s">
        <v>260</v>
      </c>
      <c r="N24" s="41">
        <v>2</v>
      </c>
      <c r="O24" s="41" t="s">
        <v>269</v>
      </c>
    </row>
    <row r="25" spans="1:15">
      <c r="A25" s="41">
        <v>23</v>
      </c>
      <c r="B25" s="40" t="s">
        <v>106</v>
      </c>
      <c r="C25" s="51" t="s">
        <v>102</v>
      </c>
      <c r="D25" s="40" t="s">
        <v>106</v>
      </c>
      <c r="E25" s="40" t="str">
        <f>VLOOKUP(D:D,[1]Data!$F:$G,2,0)</f>
        <v>Wongwekhin</v>
      </c>
      <c r="F25" s="40" t="s">
        <v>281</v>
      </c>
      <c r="G25" s="41" t="s">
        <v>28</v>
      </c>
      <c r="H25" s="41" t="s">
        <v>188</v>
      </c>
      <c r="I25" s="41" t="s">
        <v>196</v>
      </c>
      <c r="J25" s="41" t="s">
        <v>22</v>
      </c>
      <c r="K25" s="41" t="s">
        <v>46</v>
      </c>
      <c r="L25" s="41">
        <v>48</v>
      </c>
      <c r="M25" s="41" t="s">
        <v>265</v>
      </c>
      <c r="N25" s="41">
        <v>26</v>
      </c>
      <c r="O25" s="41" t="s">
        <v>261</v>
      </c>
    </row>
    <row r="26" spans="1:15">
      <c r="A26" s="41">
        <v>24</v>
      </c>
      <c r="B26" s="40" t="s">
        <v>107</v>
      </c>
      <c r="C26" s="51" t="s">
        <v>102</v>
      </c>
      <c r="D26" s="40" t="s">
        <v>107</v>
      </c>
      <c r="E26" s="40" t="str">
        <f>VLOOKUP(D:D,[1]Data!$F:$G,2,0)</f>
        <v>Munkongtanatip</v>
      </c>
      <c r="F26" s="40" t="s">
        <v>291</v>
      </c>
      <c r="G26" s="41" t="s">
        <v>28</v>
      </c>
      <c r="H26" s="41" t="s">
        <v>29</v>
      </c>
      <c r="I26" s="41" t="s">
        <v>68</v>
      </c>
      <c r="J26" s="41" t="s">
        <v>22</v>
      </c>
      <c r="K26" s="41" t="s">
        <v>31</v>
      </c>
      <c r="L26" s="41">
        <v>42</v>
      </c>
      <c r="M26" s="41" t="s">
        <v>260</v>
      </c>
      <c r="N26" s="41">
        <v>19</v>
      </c>
      <c r="O26" s="41" t="s">
        <v>268</v>
      </c>
    </row>
    <row r="27" spans="1:15">
      <c r="A27" s="41">
        <v>25</v>
      </c>
      <c r="B27" s="40" t="s">
        <v>171</v>
      </c>
      <c r="C27" s="55" t="s">
        <v>102</v>
      </c>
      <c r="D27" s="40" t="s">
        <v>171</v>
      </c>
      <c r="E27" s="40" t="s">
        <v>172</v>
      </c>
      <c r="F27" s="40" t="s">
        <v>292</v>
      </c>
      <c r="G27" s="41" t="s">
        <v>28</v>
      </c>
      <c r="H27" s="41" t="s">
        <v>29</v>
      </c>
      <c r="I27" s="41" t="s">
        <v>57</v>
      </c>
      <c r="J27" s="41" t="s">
        <v>22</v>
      </c>
      <c r="K27" s="41" t="s">
        <v>39</v>
      </c>
      <c r="L27" s="41">
        <v>45</v>
      </c>
      <c r="M27" s="41" t="s">
        <v>260</v>
      </c>
      <c r="N27" s="41">
        <v>12</v>
      </c>
      <c r="O27" s="41" t="s">
        <v>263</v>
      </c>
    </row>
    <row r="28" spans="1:15">
      <c r="A28" s="41">
        <v>26</v>
      </c>
      <c r="B28" s="40" t="s">
        <v>109</v>
      </c>
      <c r="C28" s="51" t="s">
        <v>102</v>
      </c>
      <c r="D28" s="40" t="s">
        <v>109</v>
      </c>
      <c r="E28" s="40" t="s">
        <v>154</v>
      </c>
      <c r="F28" s="40" t="s">
        <v>271</v>
      </c>
      <c r="G28" s="41" t="s">
        <v>28</v>
      </c>
      <c r="H28" s="41" t="s">
        <v>29</v>
      </c>
      <c r="I28" s="41" t="s">
        <v>74</v>
      </c>
      <c r="J28" s="41" t="s">
        <v>22</v>
      </c>
      <c r="K28" s="41" t="s">
        <v>63</v>
      </c>
      <c r="L28" s="41">
        <v>49</v>
      </c>
      <c r="M28" s="41" t="s">
        <v>265</v>
      </c>
      <c r="N28" s="41">
        <v>19</v>
      </c>
      <c r="O28" s="41" t="s">
        <v>268</v>
      </c>
    </row>
    <row r="29" spans="1:15">
      <c r="A29" s="41">
        <v>27</v>
      </c>
      <c r="B29" s="40" t="s">
        <v>111</v>
      </c>
      <c r="C29" s="51" t="s">
        <v>102</v>
      </c>
      <c r="D29" s="40" t="s">
        <v>111</v>
      </c>
      <c r="E29" s="40" t="s">
        <v>174</v>
      </c>
      <c r="F29" s="40" t="s">
        <v>282</v>
      </c>
      <c r="G29" s="41" t="s">
        <v>28</v>
      </c>
      <c r="H29" s="41" t="s">
        <v>188</v>
      </c>
      <c r="I29" s="41" t="s">
        <v>196</v>
      </c>
      <c r="J29" s="41" t="s">
        <v>22</v>
      </c>
      <c r="K29" s="41" t="s">
        <v>276</v>
      </c>
      <c r="L29" s="41">
        <v>40</v>
      </c>
      <c r="M29" s="41" t="s">
        <v>260</v>
      </c>
      <c r="N29" s="41">
        <v>19</v>
      </c>
      <c r="O29" s="41" t="s">
        <v>268</v>
      </c>
    </row>
    <row r="30" spans="1:15">
      <c r="A30" s="41">
        <v>28</v>
      </c>
      <c r="B30" s="40" t="s">
        <v>110</v>
      </c>
      <c r="C30" s="51" t="s">
        <v>102</v>
      </c>
      <c r="D30" s="40" t="s">
        <v>110</v>
      </c>
      <c r="E30" s="40" t="s">
        <v>156</v>
      </c>
      <c r="F30" s="40" t="s">
        <v>259</v>
      </c>
      <c r="G30" s="41" t="s">
        <v>19</v>
      </c>
      <c r="H30" s="41" t="s">
        <v>29</v>
      </c>
      <c r="I30" s="41" t="s">
        <v>57</v>
      </c>
      <c r="J30" s="41" t="s">
        <v>22</v>
      </c>
      <c r="K30" s="41" t="s">
        <v>69</v>
      </c>
      <c r="L30" s="41">
        <v>45</v>
      </c>
      <c r="M30" s="41" t="s">
        <v>265</v>
      </c>
      <c r="N30" s="41">
        <v>21</v>
      </c>
      <c r="O30" s="41" t="s">
        <v>261</v>
      </c>
    </row>
    <row r="31" spans="1:15">
      <c r="A31" s="41">
        <v>29</v>
      </c>
      <c r="B31" s="40" t="s">
        <v>113</v>
      </c>
      <c r="C31" s="51" t="s">
        <v>102</v>
      </c>
      <c r="D31" s="40" t="s">
        <v>113</v>
      </c>
      <c r="E31" s="40" t="s">
        <v>176</v>
      </c>
      <c r="F31" s="40" t="s">
        <v>284</v>
      </c>
      <c r="G31" s="41" t="s">
        <v>19</v>
      </c>
      <c r="H31" s="41" t="s">
        <v>188</v>
      </c>
      <c r="I31" s="41" t="s">
        <v>192</v>
      </c>
      <c r="J31" s="41" t="s">
        <v>22</v>
      </c>
      <c r="K31" s="41" t="s">
        <v>69</v>
      </c>
      <c r="L31" s="41">
        <v>36</v>
      </c>
      <c r="M31" s="41" t="s">
        <v>260</v>
      </c>
      <c r="N31" s="41">
        <v>1</v>
      </c>
      <c r="O31" s="41" t="s">
        <v>269</v>
      </c>
    </row>
    <row r="32" spans="1:15">
      <c r="A32" s="41">
        <v>30</v>
      </c>
      <c r="B32" s="40" t="s">
        <v>178</v>
      </c>
      <c r="C32" s="55" t="s">
        <v>102</v>
      </c>
      <c r="D32" s="40" t="s">
        <v>178</v>
      </c>
      <c r="E32" s="40" t="s">
        <v>179</v>
      </c>
      <c r="F32" s="40" t="s">
        <v>281</v>
      </c>
      <c r="G32" s="41" t="s">
        <v>28</v>
      </c>
      <c r="H32" s="41" t="s">
        <v>188</v>
      </c>
      <c r="I32" s="41" t="s">
        <v>196</v>
      </c>
      <c r="J32" s="41" t="s">
        <v>22</v>
      </c>
      <c r="K32" s="48"/>
      <c r="L32" s="41">
        <v>28</v>
      </c>
      <c r="M32" s="41" t="s">
        <v>260</v>
      </c>
      <c r="N32" s="41" t="s">
        <v>293</v>
      </c>
      <c r="O32" s="41" t="s">
        <v>294</v>
      </c>
    </row>
    <row r="33" spans="1:15">
      <c r="A33" s="41">
        <v>31</v>
      </c>
      <c r="B33" s="40" t="s">
        <v>112</v>
      </c>
      <c r="C33" s="51" t="s">
        <v>102</v>
      </c>
      <c r="D33" s="40" t="s">
        <v>112</v>
      </c>
      <c r="E33" s="40" t="s">
        <v>283</v>
      </c>
      <c r="F33" s="40" t="s">
        <v>264</v>
      </c>
      <c r="G33" s="41" t="s">
        <v>19</v>
      </c>
      <c r="H33" s="41" t="s">
        <v>29</v>
      </c>
      <c r="I33" s="41" t="s">
        <v>196</v>
      </c>
      <c r="J33" s="41" t="s">
        <v>22</v>
      </c>
      <c r="K33" s="41" t="s">
        <v>23</v>
      </c>
      <c r="L33" s="41">
        <v>51</v>
      </c>
      <c r="M33" s="41" t="s">
        <v>265</v>
      </c>
      <c r="N33" s="41">
        <v>28</v>
      </c>
      <c r="O33" s="41" t="s">
        <v>261</v>
      </c>
    </row>
    <row r="34" spans="1:15">
      <c r="A34" s="41">
        <v>32</v>
      </c>
      <c r="B34" s="40" t="s">
        <v>295</v>
      </c>
      <c r="C34" s="55" t="s">
        <v>102</v>
      </c>
      <c r="D34" s="40" t="s">
        <v>295</v>
      </c>
      <c r="E34" s="40" t="s">
        <v>296</v>
      </c>
      <c r="F34" s="40" t="s">
        <v>297</v>
      </c>
      <c r="G34" s="41" t="s">
        <v>19</v>
      </c>
      <c r="H34" s="41" t="s">
        <v>188</v>
      </c>
      <c r="I34" s="41" t="s">
        <v>298</v>
      </c>
      <c r="J34" s="41" t="s">
        <v>22</v>
      </c>
      <c r="K34" s="48"/>
      <c r="L34" s="41">
        <v>34</v>
      </c>
      <c r="M34" s="41" t="s">
        <v>260</v>
      </c>
      <c r="N34" s="54" t="s">
        <v>299</v>
      </c>
      <c r="O34" s="41" t="s">
        <v>294</v>
      </c>
    </row>
    <row r="35" spans="1:15">
      <c r="A35" s="41">
        <v>33</v>
      </c>
      <c r="B35" s="40" t="s">
        <v>300</v>
      </c>
      <c r="C35" s="55" t="s">
        <v>102</v>
      </c>
      <c r="D35" s="40" t="s">
        <v>300</v>
      </c>
      <c r="E35" s="40" t="s">
        <v>301</v>
      </c>
      <c r="F35" s="40" t="s">
        <v>297</v>
      </c>
      <c r="G35" s="41" t="s">
        <v>19</v>
      </c>
      <c r="H35" s="41" t="s">
        <v>188</v>
      </c>
      <c r="I35" s="41" t="s">
        <v>298</v>
      </c>
      <c r="J35" s="41" t="s">
        <v>22</v>
      </c>
      <c r="K35" s="48"/>
      <c r="L35" s="41">
        <v>41</v>
      </c>
      <c r="M35" s="41" t="s">
        <v>260</v>
      </c>
      <c r="N35" s="41">
        <v>3</v>
      </c>
      <c r="O35" s="41" t="s">
        <v>269</v>
      </c>
    </row>
    <row r="36" spans="1:15">
      <c r="O36" s="41"/>
    </row>
    <row r="42" spans="1:15">
      <c r="A42" s="41">
        <v>40</v>
      </c>
    </row>
  </sheetData>
  <autoFilter ref="A2:O41" xr:uid="{4481511D-5227-4F51-9648-55D4C99ED6F1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23BA-331E-4EF5-83B7-EA5B7790F977}">
  <sheetPr>
    <tabColor theme="7" tint="0.79998168889431442"/>
  </sheetPr>
  <dimension ref="A1:F33"/>
  <sheetViews>
    <sheetView tabSelected="1" zoomScale="130" zoomScaleNormal="130" zoomScaleSheetLayoutView="80" workbookViewId="0">
      <pane ySplit="2" topLeftCell="A3" activePane="bottomLeft" state="frozen"/>
      <selection activeCell="F39" sqref="F39"/>
      <selection pane="bottomLeft" activeCell="F2" sqref="F2"/>
    </sheetView>
  </sheetViews>
  <sheetFormatPr baseColWidth="10" defaultColWidth="8.83203125" defaultRowHeight="18"/>
  <cols>
    <col min="1" max="1" width="8.83203125" style="41"/>
    <col min="2" max="2" width="12.83203125" style="40" customWidth="1"/>
    <col min="3" max="3" width="16.83203125" style="40" customWidth="1"/>
    <col min="4" max="4" width="24.33203125" style="40" bestFit="1" customWidth="1"/>
    <col min="5" max="5" width="11.5" style="41" customWidth="1"/>
    <col min="6" max="6" width="13" style="40" bestFit="1" customWidth="1"/>
    <col min="7" max="16384" width="8.83203125" style="40"/>
  </cols>
  <sheetData>
    <row r="1" spans="1:6" ht="23">
      <c r="A1" s="72" t="s">
        <v>287</v>
      </c>
      <c r="B1" s="73"/>
      <c r="C1" s="73"/>
      <c r="D1" s="73"/>
      <c r="E1" s="73"/>
      <c r="F1" s="73"/>
    </row>
    <row r="2" spans="1:6">
      <c r="A2" s="67" t="s">
        <v>307</v>
      </c>
      <c r="B2" s="67" t="s">
        <v>4</v>
      </c>
      <c r="C2" s="67" t="s">
        <v>5</v>
      </c>
      <c r="D2" s="67" t="s">
        <v>115</v>
      </c>
      <c r="E2" s="67" t="s">
        <v>10</v>
      </c>
      <c r="F2" s="67" t="s">
        <v>309</v>
      </c>
    </row>
    <row r="3" spans="1:6">
      <c r="A3" s="66">
        <v>1</v>
      </c>
      <c r="B3" s="68" t="s">
        <v>110</v>
      </c>
      <c r="C3" s="68" t="s">
        <v>156</v>
      </c>
      <c r="D3" s="68" t="s">
        <v>157</v>
      </c>
      <c r="E3" s="66" t="s">
        <v>22</v>
      </c>
      <c r="F3" s="71" t="s">
        <v>69</v>
      </c>
    </row>
    <row r="4" spans="1:6">
      <c r="A4" s="66">
        <v>2</v>
      </c>
      <c r="B4" s="68" t="s">
        <v>33</v>
      </c>
      <c r="C4" s="68" t="s">
        <v>34</v>
      </c>
      <c r="D4" s="68" t="s">
        <v>118</v>
      </c>
      <c r="E4" s="66" t="s">
        <v>22</v>
      </c>
      <c r="F4" s="71" t="s">
        <v>35</v>
      </c>
    </row>
    <row r="5" spans="1:6">
      <c r="A5" s="66">
        <v>3</v>
      </c>
      <c r="B5" s="68" t="s">
        <v>65</v>
      </c>
      <c r="C5" s="68" t="s">
        <v>66</v>
      </c>
      <c r="D5" s="68" t="s">
        <v>123</v>
      </c>
      <c r="E5" s="66" t="s">
        <v>22</v>
      </c>
      <c r="F5" s="71" t="s">
        <v>69</v>
      </c>
    </row>
    <row r="6" spans="1:6">
      <c r="A6" s="66">
        <v>4</v>
      </c>
      <c r="B6" s="68" t="s">
        <v>101</v>
      </c>
      <c r="C6" s="68" t="s">
        <v>149</v>
      </c>
      <c r="D6" s="68" t="s">
        <v>150</v>
      </c>
      <c r="E6" s="66" t="s">
        <v>22</v>
      </c>
      <c r="F6" s="71" t="s">
        <v>63</v>
      </c>
    </row>
    <row r="7" spans="1:6">
      <c r="A7" s="66">
        <v>5</v>
      </c>
      <c r="B7" s="68" t="s">
        <v>71</v>
      </c>
      <c r="C7" s="68" t="s">
        <v>72</v>
      </c>
      <c r="D7" s="68" t="s">
        <v>124</v>
      </c>
      <c r="E7" s="66" t="s">
        <v>22</v>
      </c>
      <c r="F7" s="71" t="s">
        <v>75</v>
      </c>
    </row>
    <row r="8" spans="1:6">
      <c r="A8" s="66">
        <v>6</v>
      </c>
      <c r="B8" s="69" t="s">
        <v>158</v>
      </c>
      <c r="C8" s="69" t="s">
        <v>159</v>
      </c>
      <c r="D8" s="68" t="s">
        <v>160</v>
      </c>
      <c r="E8" s="66" t="s">
        <v>22</v>
      </c>
      <c r="F8" s="70" t="s">
        <v>267</v>
      </c>
    </row>
    <row r="9" spans="1:6">
      <c r="A9" s="66">
        <v>7</v>
      </c>
      <c r="B9" s="68" t="s">
        <v>106</v>
      </c>
      <c r="C9" s="68" t="s">
        <v>169</v>
      </c>
      <c r="D9" s="68" t="s">
        <v>170</v>
      </c>
      <c r="E9" s="66" t="s">
        <v>22</v>
      </c>
      <c r="F9" s="71" t="s">
        <v>46</v>
      </c>
    </row>
    <row r="10" spans="1:6">
      <c r="A10" s="66">
        <v>8</v>
      </c>
      <c r="B10" s="68" t="s">
        <v>16</v>
      </c>
      <c r="C10" s="68" t="s">
        <v>17</v>
      </c>
      <c r="D10" s="68" t="s">
        <v>116</v>
      </c>
      <c r="E10" s="66" t="s">
        <v>22</v>
      </c>
      <c r="F10" s="71" t="s">
        <v>23</v>
      </c>
    </row>
    <row r="11" spans="1:6">
      <c r="A11" s="66">
        <v>9</v>
      </c>
      <c r="B11" s="68" t="s">
        <v>95</v>
      </c>
      <c r="C11" s="68" t="s">
        <v>132</v>
      </c>
      <c r="D11" s="68" t="s">
        <v>133</v>
      </c>
      <c r="E11" s="66" t="s">
        <v>89</v>
      </c>
      <c r="F11" s="71" t="s">
        <v>63</v>
      </c>
    </row>
    <row r="12" spans="1:6">
      <c r="A12" s="66">
        <v>10</v>
      </c>
      <c r="B12" s="69" t="s">
        <v>163</v>
      </c>
      <c r="C12" s="68" t="s">
        <v>164</v>
      </c>
      <c r="D12" s="68" t="s">
        <v>165</v>
      </c>
      <c r="E12" s="66" t="s">
        <v>22</v>
      </c>
      <c r="F12" s="71" t="s">
        <v>310</v>
      </c>
    </row>
    <row r="13" spans="1:6">
      <c r="A13" s="66">
        <v>11</v>
      </c>
      <c r="B13" s="68" t="s">
        <v>113</v>
      </c>
      <c r="C13" s="68" t="s">
        <v>176</v>
      </c>
      <c r="D13" s="68" t="s">
        <v>177</v>
      </c>
      <c r="E13" s="66" t="s">
        <v>22</v>
      </c>
      <c r="F13" s="71" t="s">
        <v>69</v>
      </c>
    </row>
    <row r="14" spans="1:6">
      <c r="A14" s="66">
        <v>12</v>
      </c>
      <c r="B14" s="68" t="s">
        <v>109</v>
      </c>
      <c r="C14" s="68" t="s">
        <v>154</v>
      </c>
      <c r="D14" s="68" t="s">
        <v>155</v>
      </c>
      <c r="E14" s="66" t="s">
        <v>22</v>
      </c>
      <c r="F14" s="71" t="s">
        <v>63</v>
      </c>
    </row>
    <row r="15" spans="1:6">
      <c r="A15" s="66">
        <v>13</v>
      </c>
      <c r="B15" s="68" t="s">
        <v>54</v>
      </c>
      <c r="C15" s="68" t="s">
        <v>55</v>
      </c>
      <c r="D15" s="68" t="s">
        <v>121</v>
      </c>
      <c r="E15" s="66" t="s">
        <v>22</v>
      </c>
      <c r="F15" s="71" t="s">
        <v>23</v>
      </c>
    </row>
    <row r="16" spans="1:6">
      <c r="A16" s="66">
        <v>14</v>
      </c>
      <c r="B16" s="69" t="s">
        <v>166</v>
      </c>
      <c r="C16" s="68" t="s">
        <v>167</v>
      </c>
      <c r="D16" s="68" t="s">
        <v>168</v>
      </c>
      <c r="E16" s="66" t="s">
        <v>22</v>
      </c>
      <c r="F16" s="71" t="s">
        <v>276</v>
      </c>
    </row>
    <row r="17" spans="1:6">
      <c r="A17" s="66">
        <v>15</v>
      </c>
      <c r="B17" s="68" t="s">
        <v>48</v>
      </c>
      <c r="C17" s="68" t="s">
        <v>49</v>
      </c>
      <c r="D17" s="68" t="s">
        <v>120</v>
      </c>
      <c r="E17" s="66" t="s">
        <v>189</v>
      </c>
      <c r="F17" s="71" t="s">
        <v>23</v>
      </c>
    </row>
    <row r="18" spans="1:6">
      <c r="A18" s="66">
        <v>16</v>
      </c>
      <c r="B18" s="68" t="s">
        <v>81</v>
      </c>
      <c r="C18" s="68" t="s">
        <v>82</v>
      </c>
      <c r="D18" s="68" t="s">
        <v>126</v>
      </c>
      <c r="E18" s="66" t="s">
        <v>189</v>
      </c>
      <c r="F18" s="71" t="s">
        <v>23</v>
      </c>
    </row>
    <row r="19" spans="1:6">
      <c r="A19" s="66">
        <v>17</v>
      </c>
      <c r="B19" s="68" t="s">
        <v>93</v>
      </c>
      <c r="C19" s="68" t="s">
        <v>130</v>
      </c>
      <c r="D19" s="68" t="s">
        <v>131</v>
      </c>
      <c r="E19" s="66" t="s">
        <v>22</v>
      </c>
      <c r="F19" s="71" t="s">
        <v>23</v>
      </c>
    </row>
    <row r="20" spans="1:6" s="53" customFormat="1">
      <c r="A20" s="66">
        <v>18</v>
      </c>
      <c r="B20" s="68" t="s">
        <v>77</v>
      </c>
      <c r="C20" s="68" t="s">
        <v>78</v>
      </c>
      <c r="D20" s="68" t="s">
        <v>125</v>
      </c>
      <c r="E20" s="66" t="s">
        <v>22</v>
      </c>
      <c r="F20" s="71" t="s">
        <v>23</v>
      </c>
    </row>
    <row r="21" spans="1:6">
      <c r="A21" s="66">
        <v>19</v>
      </c>
      <c r="B21" s="68" t="s">
        <v>97</v>
      </c>
      <c r="C21" s="68" t="s">
        <v>134</v>
      </c>
      <c r="D21" s="68" t="s">
        <v>135</v>
      </c>
      <c r="E21" s="66" t="s">
        <v>189</v>
      </c>
      <c r="F21" s="71" t="s">
        <v>275</v>
      </c>
    </row>
    <row r="22" spans="1:6">
      <c r="A22" s="66">
        <v>20</v>
      </c>
      <c r="B22" s="68" t="s">
        <v>111</v>
      </c>
      <c r="C22" s="68" t="s">
        <v>174</v>
      </c>
      <c r="D22" s="68" t="s">
        <v>175</v>
      </c>
      <c r="E22" s="66" t="s">
        <v>22</v>
      </c>
      <c r="F22" s="71" t="s">
        <v>276</v>
      </c>
    </row>
    <row r="23" spans="1:6">
      <c r="A23" s="66">
        <v>21</v>
      </c>
      <c r="B23" s="68" t="s">
        <v>171</v>
      </c>
      <c r="C23" s="68" t="s">
        <v>172</v>
      </c>
      <c r="D23" s="68" t="s">
        <v>173</v>
      </c>
      <c r="E23" s="66" t="s">
        <v>22</v>
      </c>
      <c r="F23" s="71" t="s">
        <v>39</v>
      </c>
    </row>
    <row r="24" spans="1:6">
      <c r="A24" s="66">
        <v>22</v>
      </c>
      <c r="B24" s="68" t="s">
        <v>59</v>
      </c>
      <c r="C24" s="68" t="s">
        <v>60</v>
      </c>
      <c r="D24" s="68" t="s">
        <v>122</v>
      </c>
      <c r="E24" s="66" t="s">
        <v>22</v>
      </c>
      <c r="F24" s="71" t="s">
        <v>63</v>
      </c>
    </row>
    <row r="25" spans="1:6">
      <c r="A25" s="66">
        <v>23</v>
      </c>
      <c r="B25" s="69" t="s">
        <v>178</v>
      </c>
      <c r="C25" s="68" t="s">
        <v>179</v>
      </c>
      <c r="D25" s="68" t="s">
        <v>180</v>
      </c>
      <c r="E25" s="66" t="s">
        <v>22</v>
      </c>
      <c r="F25" s="71" t="s">
        <v>310</v>
      </c>
    </row>
    <row r="26" spans="1:6">
      <c r="A26" s="66">
        <v>24</v>
      </c>
      <c r="B26" s="68" t="s">
        <v>37</v>
      </c>
      <c r="C26" s="68" t="s">
        <v>38</v>
      </c>
      <c r="D26" s="68" t="s">
        <v>119</v>
      </c>
      <c r="E26" s="66" t="s">
        <v>22</v>
      </c>
      <c r="F26" s="71" t="s">
        <v>39</v>
      </c>
    </row>
    <row r="27" spans="1:6">
      <c r="A27" s="66">
        <v>25</v>
      </c>
      <c r="B27" s="68" t="s">
        <v>41</v>
      </c>
      <c r="C27" s="68" t="s">
        <v>42</v>
      </c>
      <c r="D27" s="68" t="s">
        <v>308</v>
      </c>
      <c r="E27" s="66" t="s">
        <v>45</v>
      </c>
      <c r="F27" s="71" t="s">
        <v>46</v>
      </c>
    </row>
    <row r="28" spans="1:6">
      <c r="A28" s="66">
        <v>26</v>
      </c>
      <c r="B28" s="68" t="s">
        <v>127</v>
      </c>
      <c r="C28" s="68" t="s">
        <v>128</v>
      </c>
      <c r="D28" s="68" t="s">
        <v>129</v>
      </c>
      <c r="E28" s="66" t="s">
        <v>22</v>
      </c>
      <c r="F28" s="71" t="s">
        <v>276</v>
      </c>
    </row>
    <row r="29" spans="1:6">
      <c r="A29" s="66">
        <v>27</v>
      </c>
      <c r="B29" s="68" t="s">
        <v>25</v>
      </c>
      <c r="C29" s="68" t="s">
        <v>26</v>
      </c>
      <c r="D29" s="68" t="s">
        <v>117</v>
      </c>
      <c r="E29" s="66" t="s">
        <v>22</v>
      </c>
      <c r="F29" s="71" t="s">
        <v>31</v>
      </c>
    </row>
    <row r="30" spans="1:6">
      <c r="A30" s="66">
        <v>28</v>
      </c>
      <c r="B30" s="68" t="s">
        <v>142</v>
      </c>
      <c r="C30" s="68" t="s">
        <v>143</v>
      </c>
      <c r="D30" s="68" t="s">
        <v>144</v>
      </c>
      <c r="E30" s="66" t="s">
        <v>22</v>
      </c>
      <c r="F30" s="71" t="s">
        <v>276</v>
      </c>
    </row>
    <row r="31" spans="1:6">
      <c r="A31" s="66">
        <v>29</v>
      </c>
      <c r="B31" s="68" t="s">
        <v>181</v>
      </c>
      <c r="C31" s="68" t="s">
        <v>182</v>
      </c>
      <c r="D31" s="68" t="s">
        <v>183</v>
      </c>
      <c r="E31" s="66" t="s">
        <v>45</v>
      </c>
      <c r="F31" s="71" t="s">
        <v>39</v>
      </c>
    </row>
    <row r="32" spans="1:6">
      <c r="A32" s="66">
        <v>30</v>
      </c>
      <c r="B32" s="68" t="s">
        <v>161</v>
      </c>
      <c r="C32" s="68" t="s">
        <v>162</v>
      </c>
      <c r="D32" s="68" t="s">
        <v>306</v>
      </c>
      <c r="E32" s="66" t="s">
        <v>223</v>
      </c>
      <c r="F32" s="71" t="s">
        <v>23</v>
      </c>
    </row>
    <row r="33" spans="1:6">
      <c r="A33" s="66">
        <v>31</v>
      </c>
      <c r="B33" s="68" t="s">
        <v>107</v>
      </c>
      <c r="C33" s="68" t="s">
        <v>152</v>
      </c>
      <c r="D33" s="68" t="s">
        <v>153</v>
      </c>
      <c r="E33" s="66" t="s">
        <v>22</v>
      </c>
      <c r="F33" s="71" t="s">
        <v>31</v>
      </c>
    </row>
  </sheetData>
  <autoFilter ref="A2:F33" xr:uid="{489123BA-331E-4EF5-83B7-EA5B7790F977}"/>
  <mergeCells count="1">
    <mergeCell ref="A1:F1"/>
  </mergeCells>
  <conditionalFormatting sqref="B2 B34:B1048576">
    <cfRule type="duplicateValues" dxfId="2" priority="6"/>
  </conditionalFormatting>
  <conditionalFormatting sqref="B3:B32">
    <cfRule type="duplicateValues" dxfId="1" priority="2"/>
  </conditionalFormatting>
  <conditionalFormatting sqref="B33">
    <cfRule type="duplicateValues" dxfId="0" priority="1"/>
  </conditionalFormatting>
  <hyperlinks>
    <hyperlink ref="D27" r:id="rId1" xr:uid="{570A731E-94C2-4539-8392-C6929CB1E5E6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FE97-828B-4B8F-AEE2-E13AF169E67D}">
  <dimension ref="A1:O42"/>
  <sheetViews>
    <sheetView view="pageBreakPreview" topLeftCell="C1" zoomScale="60" zoomScaleNormal="60" workbookViewId="0">
      <pane ySplit="2" topLeftCell="A3" activePane="bottomLeft" state="frozen"/>
      <selection pane="bottomLeft" activeCell="G39" sqref="G39"/>
    </sheetView>
  </sheetViews>
  <sheetFormatPr baseColWidth="10" defaultColWidth="8.83203125" defaultRowHeight="18"/>
  <cols>
    <col min="1" max="1" width="8.83203125" style="41"/>
    <col min="2" max="2" width="18.5" style="40" customWidth="1"/>
    <col min="3" max="3" width="13.5" style="41" customWidth="1"/>
    <col min="4" max="4" width="11.1640625" style="40" bestFit="1" customWidth="1"/>
    <col min="5" max="5" width="16.83203125" style="40" customWidth="1"/>
    <col min="6" max="6" width="44" style="40" customWidth="1"/>
    <col min="7" max="7" width="20.83203125" style="41" customWidth="1"/>
    <col min="8" max="8" width="12.5" style="41" customWidth="1"/>
    <col min="9" max="9" width="28.5" style="41" customWidth="1"/>
    <col min="10" max="11" width="11.5" style="41" customWidth="1"/>
    <col min="12" max="12" width="8.83203125" style="41" customWidth="1"/>
    <col min="13" max="13" width="15.83203125" style="41" customWidth="1"/>
    <col min="14" max="14" width="10.5" style="41" customWidth="1"/>
    <col min="15" max="15" width="12" style="41" customWidth="1"/>
    <col min="16" max="16384" width="8.83203125" style="40"/>
  </cols>
  <sheetData>
    <row r="1" spans="1:15" ht="42" customHeight="1">
      <c r="A1" s="45" t="s">
        <v>302</v>
      </c>
      <c r="B1" s="42"/>
      <c r="C1" s="44"/>
      <c r="D1" s="42"/>
      <c r="E1" s="42"/>
      <c r="F1" s="42"/>
      <c r="G1" s="44"/>
      <c r="H1" s="44"/>
      <c r="I1" s="44"/>
      <c r="J1" s="44"/>
      <c r="K1" s="44"/>
      <c r="L1" s="44"/>
      <c r="M1" s="44"/>
      <c r="N1" s="44"/>
      <c r="O1" s="44"/>
    </row>
    <row r="2" spans="1:15">
      <c r="A2" s="43" t="s">
        <v>1</v>
      </c>
      <c r="B2" s="43" t="s">
        <v>2</v>
      </c>
      <c r="C2" s="43" t="s">
        <v>3</v>
      </c>
      <c r="D2" s="43" t="s">
        <v>4</v>
      </c>
      <c r="E2" s="43" t="s">
        <v>5</v>
      </c>
      <c r="F2" s="43" t="s">
        <v>6</v>
      </c>
      <c r="G2" s="43" t="s">
        <v>7</v>
      </c>
      <c r="H2" s="43" t="s">
        <v>8</v>
      </c>
      <c r="I2" s="43" t="s">
        <v>9</v>
      </c>
      <c r="J2" s="43" t="s">
        <v>10</v>
      </c>
      <c r="K2" s="43" t="s">
        <v>11</v>
      </c>
      <c r="L2" s="43" t="s">
        <v>12</v>
      </c>
      <c r="M2" s="43" t="s">
        <v>258</v>
      </c>
      <c r="N2" s="43" t="s">
        <v>303</v>
      </c>
      <c r="O2" s="43" t="s">
        <v>13</v>
      </c>
    </row>
    <row r="3" spans="1:15">
      <c r="A3" s="41">
        <v>1</v>
      </c>
      <c r="B3" s="40" t="s">
        <v>14</v>
      </c>
      <c r="C3" s="41" t="s">
        <v>15</v>
      </c>
      <c r="D3" s="40" t="s">
        <v>16</v>
      </c>
      <c r="E3" s="40" t="s">
        <v>17</v>
      </c>
      <c r="F3" s="40" t="s">
        <v>18</v>
      </c>
      <c r="G3" s="41" t="s">
        <v>19</v>
      </c>
      <c r="H3" s="41" t="s">
        <v>188</v>
      </c>
      <c r="I3" s="41" t="s">
        <v>21</v>
      </c>
      <c r="J3" s="41" t="s">
        <v>22</v>
      </c>
      <c r="K3" s="41" t="s">
        <v>23</v>
      </c>
      <c r="L3" s="41">
        <v>43</v>
      </c>
      <c r="M3" s="41" t="s">
        <v>260</v>
      </c>
      <c r="O3" s="41">
        <v>19</v>
      </c>
    </row>
    <row r="4" spans="1:15">
      <c r="A4" s="41">
        <v>2</v>
      </c>
      <c r="B4" s="40" t="s">
        <v>24</v>
      </c>
      <c r="C4" s="41" t="s">
        <v>15</v>
      </c>
      <c r="D4" s="40" t="s">
        <v>25</v>
      </c>
      <c r="E4" s="40" t="s">
        <v>26</v>
      </c>
      <c r="F4" s="40" t="s">
        <v>27</v>
      </c>
      <c r="G4" s="41" t="s">
        <v>28</v>
      </c>
      <c r="H4" s="41" t="s">
        <v>29</v>
      </c>
      <c r="I4" s="41" t="s">
        <v>30</v>
      </c>
      <c r="J4" s="41" t="s">
        <v>22</v>
      </c>
      <c r="K4" s="41" t="s">
        <v>31</v>
      </c>
      <c r="L4" s="41">
        <v>47</v>
      </c>
      <c r="M4" s="41" t="s">
        <v>265</v>
      </c>
      <c r="O4" s="41">
        <v>18</v>
      </c>
    </row>
    <row r="5" spans="1:15">
      <c r="A5" s="41">
        <v>3</v>
      </c>
      <c r="B5" s="40" t="s">
        <v>32</v>
      </c>
      <c r="C5" s="41" t="s">
        <v>15</v>
      </c>
      <c r="D5" s="40" t="s">
        <v>33</v>
      </c>
      <c r="E5" s="40" t="s">
        <v>34</v>
      </c>
      <c r="F5" s="40" t="s">
        <v>27</v>
      </c>
      <c r="G5" s="41" t="s">
        <v>28</v>
      </c>
      <c r="H5" s="41" t="s">
        <v>29</v>
      </c>
      <c r="I5" s="41" t="s">
        <v>30</v>
      </c>
      <c r="J5" s="41" t="s">
        <v>22</v>
      </c>
      <c r="K5" s="41" t="s">
        <v>35</v>
      </c>
      <c r="L5" s="41">
        <v>37</v>
      </c>
      <c r="M5" s="41" t="s">
        <v>260</v>
      </c>
      <c r="O5" s="41">
        <v>7</v>
      </c>
    </row>
    <row r="6" spans="1:15">
      <c r="A6" s="41">
        <v>4</v>
      </c>
      <c r="B6" s="40" t="s">
        <v>36</v>
      </c>
      <c r="C6" s="41" t="s">
        <v>15</v>
      </c>
      <c r="D6" s="40" t="s">
        <v>37</v>
      </c>
      <c r="E6" s="40" t="s">
        <v>38</v>
      </c>
      <c r="F6" s="40" t="s">
        <v>27</v>
      </c>
      <c r="G6" s="41" t="s">
        <v>28</v>
      </c>
      <c r="H6" s="41" t="s">
        <v>29</v>
      </c>
      <c r="I6" s="41" t="s">
        <v>30</v>
      </c>
      <c r="J6" s="41" t="s">
        <v>22</v>
      </c>
      <c r="K6" s="41" t="s">
        <v>39</v>
      </c>
      <c r="L6" s="41">
        <v>46</v>
      </c>
      <c r="M6" s="41" t="s">
        <v>265</v>
      </c>
      <c r="O6" s="41">
        <v>18</v>
      </c>
    </row>
    <row r="7" spans="1:15">
      <c r="A7" s="41">
        <v>5</v>
      </c>
      <c r="B7" s="40" t="s">
        <v>40</v>
      </c>
      <c r="C7" s="41" t="s">
        <v>15</v>
      </c>
      <c r="D7" s="40" t="s">
        <v>41</v>
      </c>
      <c r="E7" s="40" t="s">
        <v>42</v>
      </c>
      <c r="F7" s="40" t="s">
        <v>43</v>
      </c>
      <c r="G7" s="41" t="s">
        <v>28</v>
      </c>
      <c r="H7" s="41" t="s">
        <v>188</v>
      </c>
      <c r="I7" s="41" t="s">
        <v>44</v>
      </c>
      <c r="J7" s="41" t="s">
        <v>45</v>
      </c>
      <c r="K7" s="41" t="s">
        <v>46</v>
      </c>
      <c r="L7" s="41">
        <v>36</v>
      </c>
      <c r="M7" s="41" t="s">
        <v>260</v>
      </c>
      <c r="O7" s="41">
        <v>11</v>
      </c>
    </row>
    <row r="8" spans="1:15">
      <c r="A8" s="41">
        <v>6</v>
      </c>
      <c r="B8" s="40" t="s">
        <v>47</v>
      </c>
      <c r="C8" s="41" t="s">
        <v>15</v>
      </c>
      <c r="D8" s="40" t="s">
        <v>48</v>
      </c>
      <c r="E8" s="40" t="s">
        <v>49</v>
      </c>
      <c r="F8" s="49"/>
      <c r="G8" s="41" t="s">
        <v>50</v>
      </c>
      <c r="H8" s="41" t="s">
        <v>29</v>
      </c>
      <c r="I8" s="41" t="s">
        <v>51</v>
      </c>
      <c r="J8" s="41" t="s">
        <v>189</v>
      </c>
      <c r="K8" s="41" t="s">
        <v>23</v>
      </c>
      <c r="L8" s="41">
        <v>33</v>
      </c>
      <c r="M8" s="41" t="s">
        <v>260</v>
      </c>
      <c r="O8" s="41">
        <v>8</v>
      </c>
    </row>
    <row r="9" spans="1:15">
      <c r="A9" s="41">
        <v>7</v>
      </c>
      <c r="B9" s="40" t="s">
        <v>53</v>
      </c>
      <c r="C9" s="41" t="s">
        <v>15</v>
      </c>
      <c r="D9" s="40" t="s">
        <v>54</v>
      </c>
      <c r="E9" s="40" t="s">
        <v>55</v>
      </c>
      <c r="F9" s="40" t="s">
        <v>56</v>
      </c>
      <c r="G9" s="41" t="s">
        <v>28</v>
      </c>
      <c r="H9" s="41" t="s">
        <v>29</v>
      </c>
      <c r="I9" s="41" t="s">
        <v>57</v>
      </c>
      <c r="J9" s="41" t="s">
        <v>22</v>
      </c>
      <c r="K9" s="41" t="s">
        <v>23</v>
      </c>
      <c r="L9" s="41">
        <v>43</v>
      </c>
      <c r="M9" s="41" t="s">
        <v>260</v>
      </c>
      <c r="O9" s="41">
        <v>21</v>
      </c>
    </row>
    <row r="10" spans="1:15">
      <c r="A10" s="41">
        <v>8</v>
      </c>
      <c r="B10" s="40" t="s">
        <v>58</v>
      </c>
      <c r="C10" s="41" t="s">
        <v>15</v>
      </c>
      <c r="D10" s="40" t="s">
        <v>59</v>
      </c>
      <c r="E10" s="40" t="s">
        <v>60</v>
      </c>
      <c r="F10" s="40" t="s">
        <v>61</v>
      </c>
      <c r="G10" s="41" t="s">
        <v>19</v>
      </c>
      <c r="H10" s="41" t="s">
        <v>188</v>
      </c>
      <c r="I10" s="41" t="s">
        <v>62</v>
      </c>
      <c r="J10" s="41" t="s">
        <v>22</v>
      </c>
      <c r="K10" s="41" t="s">
        <v>63</v>
      </c>
      <c r="L10" s="41">
        <v>31</v>
      </c>
      <c r="M10" s="41" t="s">
        <v>260</v>
      </c>
      <c r="O10" s="41">
        <v>8</v>
      </c>
    </row>
    <row r="11" spans="1:15">
      <c r="A11" s="41">
        <v>9</v>
      </c>
      <c r="B11" s="40" t="s">
        <v>64</v>
      </c>
      <c r="C11" s="41" t="s">
        <v>15</v>
      </c>
      <c r="D11" s="40" t="s">
        <v>65</v>
      </c>
      <c r="E11" s="40" t="s">
        <v>66</v>
      </c>
      <c r="F11" s="40" t="s">
        <v>67</v>
      </c>
      <c r="G11" s="41" t="s">
        <v>28</v>
      </c>
      <c r="H11" s="41" t="s">
        <v>29</v>
      </c>
      <c r="I11" s="41" t="s">
        <v>68</v>
      </c>
      <c r="J11" s="41" t="s">
        <v>22</v>
      </c>
      <c r="K11" s="41" t="s">
        <v>69</v>
      </c>
      <c r="L11" s="41">
        <v>40</v>
      </c>
      <c r="M11" s="41" t="s">
        <v>260</v>
      </c>
      <c r="O11" s="41">
        <v>12</v>
      </c>
    </row>
    <row r="12" spans="1:15">
      <c r="A12" s="41">
        <v>10</v>
      </c>
      <c r="B12" s="40" t="s">
        <v>70</v>
      </c>
      <c r="C12" s="41" t="s">
        <v>15</v>
      </c>
      <c r="D12" s="40" t="s">
        <v>71</v>
      </c>
      <c r="E12" s="40" t="s">
        <v>72</v>
      </c>
      <c r="F12" s="40" t="s">
        <v>73</v>
      </c>
      <c r="G12" s="41" t="s">
        <v>28</v>
      </c>
      <c r="H12" s="41" t="s">
        <v>29</v>
      </c>
      <c r="I12" s="41" t="s">
        <v>74</v>
      </c>
      <c r="J12" s="41" t="s">
        <v>22</v>
      </c>
      <c r="K12" s="41" t="s">
        <v>75</v>
      </c>
      <c r="L12" s="41">
        <v>29</v>
      </c>
      <c r="M12" s="41" t="s">
        <v>260</v>
      </c>
      <c r="O12" s="41">
        <v>6</v>
      </c>
    </row>
    <row r="13" spans="1:15">
      <c r="A13" s="41">
        <v>11</v>
      </c>
      <c r="B13" s="40" t="s">
        <v>76</v>
      </c>
      <c r="C13" s="41" t="s">
        <v>15</v>
      </c>
      <c r="D13" s="40" t="s">
        <v>77</v>
      </c>
      <c r="E13" s="40" t="s">
        <v>78</v>
      </c>
      <c r="F13" s="40" t="s">
        <v>79</v>
      </c>
      <c r="G13" s="41" t="s">
        <v>19</v>
      </c>
      <c r="H13" s="41" t="s">
        <v>29</v>
      </c>
      <c r="I13" s="41" t="s">
        <v>74</v>
      </c>
      <c r="J13" s="41" t="s">
        <v>22</v>
      </c>
      <c r="K13" s="41" t="s">
        <v>23</v>
      </c>
      <c r="L13" s="41">
        <v>32</v>
      </c>
      <c r="M13" s="41" t="s">
        <v>260</v>
      </c>
      <c r="O13" s="41">
        <v>6</v>
      </c>
    </row>
    <row r="14" spans="1:15">
      <c r="A14" s="41">
        <v>12</v>
      </c>
      <c r="B14" s="40" t="s">
        <v>80</v>
      </c>
      <c r="C14" s="41" t="s">
        <v>15</v>
      </c>
      <c r="D14" s="40" t="s">
        <v>81</v>
      </c>
      <c r="E14" s="40" t="s">
        <v>82</v>
      </c>
      <c r="F14" s="50" t="s">
        <v>190</v>
      </c>
      <c r="G14" s="41" t="s">
        <v>83</v>
      </c>
      <c r="H14" s="41" t="s">
        <v>29</v>
      </c>
      <c r="I14" s="41" t="s">
        <v>74</v>
      </c>
      <c r="J14" s="41" t="s">
        <v>189</v>
      </c>
      <c r="K14" s="41" t="s">
        <v>23</v>
      </c>
      <c r="L14" s="41">
        <v>26</v>
      </c>
      <c r="M14" s="41" t="s">
        <v>272</v>
      </c>
      <c r="O14" s="41">
        <v>3</v>
      </c>
    </row>
    <row r="15" spans="1:15">
      <c r="A15" s="41">
        <v>13</v>
      </c>
      <c r="B15" s="40" t="s">
        <v>84</v>
      </c>
      <c r="C15" s="41" t="s">
        <v>15</v>
      </c>
      <c r="D15" s="40" t="s">
        <v>85</v>
      </c>
      <c r="E15" s="40" t="s">
        <v>86</v>
      </c>
      <c r="F15" s="49"/>
      <c r="G15" s="41" t="s">
        <v>87</v>
      </c>
      <c r="H15" s="41" t="s">
        <v>29</v>
      </c>
      <c r="I15" s="41" t="s">
        <v>88</v>
      </c>
      <c r="J15" s="41" t="s">
        <v>89</v>
      </c>
      <c r="K15" s="41" t="s">
        <v>23</v>
      </c>
      <c r="L15" s="41">
        <v>37</v>
      </c>
      <c r="M15" s="41" t="s">
        <v>260</v>
      </c>
      <c r="O15" s="41">
        <v>3</v>
      </c>
    </row>
    <row r="16" spans="1:15" ht="20">
      <c r="A16" s="41">
        <v>14</v>
      </c>
      <c r="B16" s="40" t="s">
        <v>90</v>
      </c>
      <c r="C16" s="41" t="s">
        <v>15</v>
      </c>
      <c r="D16" s="40" t="s">
        <v>127</v>
      </c>
      <c r="E16" s="40" t="s">
        <v>128</v>
      </c>
      <c r="F16" s="40" t="s">
        <v>191</v>
      </c>
      <c r="G16" s="41" t="s">
        <v>19</v>
      </c>
      <c r="H16" s="41" t="s">
        <v>188</v>
      </c>
      <c r="I16" s="41" t="s">
        <v>192</v>
      </c>
      <c r="J16" s="41" t="s">
        <v>22</v>
      </c>
      <c r="K16" s="41" t="s">
        <v>276</v>
      </c>
      <c r="L16" s="48"/>
      <c r="M16" s="41" t="s">
        <v>260</v>
      </c>
      <c r="N16" s="46">
        <v>45154</v>
      </c>
      <c r="O16" s="41">
        <f ca="1">DATEDIF(N16, TODAY(), "Y")</f>
        <v>2</v>
      </c>
    </row>
    <row r="17" spans="1:15" ht="20">
      <c r="A17" s="41">
        <v>15</v>
      </c>
      <c r="B17" s="40" t="s">
        <v>92</v>
      </c>
      <c r="C17" s="41" t="s">
        <v>15</v>
      </c>
      <c r="D17" s="40" t="s">
        <v>93</v>
      </c>
      <c r="E17" s="40" t="str">
        <f>VLOOKUP(D:D,[1]Data!$F:$G,2,0)</f>
        <v>Nilapong</v>
      </c>
      <c r="F17" s="40" t="s">
        <v>193</v>
      </c>
      <c r="G17" s="41" t="s">
        <v>19</v>
      </c>
      <c r="H17" s="41" t="s">
        <v>188</v>
      </c>
      <c r="I17" s="41" t="s">
        <v>62</v>
      </c>
      <c r="J17" s="41" t="s">
        <v>22</v>
      </c>
      <c r="K17" s="41" t="s">
        <v>23</v>
      </c>
      <c r="L17" s="41">
        <v>39</v>
      </c>
      <c r="M17" s="41" t="s">
        <v>260</v>
      </c>
      <c r="N17" s="46">
        <v>41821</v>
      </c>
      <c r="O17" s="41">
        <f t="shared" ref="O17" ca="1" si="0">DATEDIF(N17, TODAY(), "Y")</f>
        <v>11</v>
      </c>
    </row>
    <row r="18" spans="1:15">
      <c r="A18" s="41">
        <v>16</v>
      </c>
      <c r="B18" s="40" t="s">
        <v>94</v>
      </c>
      <c r="C18" s="41" t="s">
        <v>15</v>
      </c>
      <c r="D18" s="40" t="s">
        <v>95</v>
      </c>
      <c r="E18" s="40" t="str">
        <f>VLOOKUP(D:D,[1]Data!$F:$G,2,0)</f>
        <v>Ayuvatthana</v>
      </c>
      <c r="F18" s="40" t="s">
        <v>193</v>
      </c>
      <c r="G18" s="41" t="s">
        <v>19</v>
      </c>
      <c r="H18" s="41" t="s">
        <v>188</v>
      </c>
      <c r="I18" s="41" t="s">
        <v>194</v>
      </c>
      <c r="J18" s="41" t="s">
        <v>22</v>
      </c>
      <c r="K18" s="41" t="s">
        <v>63</v>
      </c>
      <c r="L18" s="41">
        <v>37</v>
      </c>
      <c r="M18" s="41" t="s">
        <v>260</v>
      </c>
      <c r="N18" s="48"/>
      <c r="O18" s="41">
        <v>4</v>
      </c>
    </row>
    <row r="19" spans="1:15">
      <c r="A19" s="41">
        <v>17</v>
      </c>
      <c r="B19" s="40" t="s">
        <v>96</v>
      </c>
      <c r="C19" s="41" t="s">
        <v>15</v>
      </c>
      <c r="D19" s="40" t="s">
        <v>97</v>
      </c>
      <c r="E19" s="40" t="s">
        <v>134</v>
      </c>
      <c r="F19" s="40" t="s">
        <v>195</v>
      </c>
      <c r="G19" s="41" t="s">
        <v>19</v>
      </c>
      <c r="H19" s="41" t="s">
        <v>188</v>
      </c>
      <c r="I19" s="41" t="s">
        <v>196</v>
      </c>
      <c r="J19" s="41" t="s">
        <v>189</v>
      </c>
      <c r="K19" s="41" t="s">
        <v>275</v>
      </c>
      <c r="L19" s="41">
        <v>52</v>
      </c>
      <c r="M19" s="41" t="s">
        <v>265</v>
      </c>
      <c r="N19" s="48"/>
      <c r="O19" s="41">
        <v>31</v>
      </c>
    </row>
    <row r="20" spans="1:15" ht="20">
      <c r="A20" s="41">
        <v>18</v>
      </c>
      <c r="B20" s="40" t="s">
        <v>98</v>
      </c>
      <c r="C20" s="41" t="s">
        <v>99</v>
      </c>
      <c r="D20" s="40" t="s">
        <v>136</v>
      </c>
      <c r="E20" s="40" t="str">
        <f>VLOOKUP(D:D,[1]Data!$F:$G,2,0)</f>
        <v>Promnart</v>
      </c>
      <c r="F20" s="40" t="s">
        <v>220</v>
      </c>
      <c r="G20" s="41" t="s">
        <v>199</v>
      </c>
      <c r="H20" s="41" t="s">
        <v>188</v>
      </c>
      <c r="I20" s="41" t="s">
        <v>98</v>
      </c>
      <c r="J20" s="41" t="s">
        <v>22</v>
      </c>
      <c r="K20" s="41" t="s">
        <v>63</v>
      </c>
      <c r="L20" s="41">
        <v>43</v>
      </c>
      <c r="M20" s="41" t="s">
        <v>260</v>
      </c>
      <c r="N20" s="46">
        <v>39692</v>
      </c>
      <c r="O20" s="41">
        <v>17</v>
      </c>
    </row>
    <row r="21" spans="1:15" ht="20">
      <c r="A21" s="41">
        <v>19</v>
      </c>
      <c r="B21" s="40" t="s">
        <v>62</v>
      </c>
      <c r="C21" s="41" t="s">
        <v>99</v>
      </c>
      <c r="D21" s="40" t="s">
        <v>138</v>
      </c>
      <c r="E21" s="40" t="s">
        <v>139</v>
      </c>
      <c r="F21" s="40" t="s">
        <v>198</v>
      </c>
      <c r="G21" s="41" t="s">
        <v>199</v>
      </c>
      <c r="H21" s="41" t="s">
        <v>188</v>
      </c>
      <c r="I21" s="41" t="s">
        <v>62</v>
      </c>
      <c r="J21" s="41" t="s">
        <v>22</v>
      </c>
      <c r="K21" s="41" t="s">
        <v>270</v>
      </c>
      <c r="L21" s="41">
        <v>43</v>
      </c>
      <c r="M21" s="41" t="s">
        <v>260</v>
      </c>
      <c r="N21" s="46">
        <v>39173</v>
      </c>
      <c r="O21" s="41">
        <v>18</v>
      </c>
    </row>
    <row r="22" spans="1:15" ht="20">
      <c r="A22" s="41">
        <v>20</v>
      </c>
      <c r="B22" s="40" t="s">
        <v>100</v>
      </c>
      <c r="C22" s="41" t="s">
        <v>99</v>
      </c>
      <c r="D22" s="40" t="s">
        <v>140</v>
      </c>
      <c r="E22" s="40" t="s">
        <v>141</v>
      </c>
      <c r="F22" s="40" t="s">
        <v>221</v>
      </c>
      <c r="G22" s="41" t="s">
        <v>222</v>
      </c>
      <c r="H22" s="41" t="s">
        <v>188</v>
      </c>
      <c r="I22" s="41" t="s">
        <v>100</v>
      </c>
      <c r="J22" s="41" t="s">
        <v>22</v>
      </c>
      <c r="K22" s="41" t="s">
        <v>75</v>
      </c>
      <c r="L22" s="47"/>
      <c r="M22" s="47"/>
      <c r="N22" s="46">
        <v>43466</v>
      </c>
      <c r="O22" s="41">
        <v>7</v>
      </c>
    </row>
    <row r="23" spans="1:15" ht="20">
      <c r="A23" s="41">
        <v>21</v>
      </c>
      <c r="B23" s="40" t="s">
        <v>57</v>
      </c>
      <c r="C23" s="41" t="s">
        <v>99</v>
      </c>
      <c r="D23" s="40" t="s">
        <v>142</v>
      </c>
      <c r="E23" s="40" t="str">
        <f>VLOOKUP(D:D,[1]Data!$F:$G,2,0)</f>
        <v>Faktim</v>
      </c>
      <c r="F23" s="40" t="s">
        <v>200</v>
      </c>
      <c r="G23" s="41" t="s">
        <v>199</v>
      </c>
      <c r="H23" s="41" t="s">
        <v>29</v>
      </c>
      <c r="I23" s="41" t="s">
        <v>57</v>
      </c>
      <c r="J23" s="41" t="s">
        <v>22</v>
      </c>
      <c r="K23" s="41" t="s">
        <v>276</v>
      </c>
      <c r="L23" s="41">
        <v>43</v>
      </c>
      <c r="M23" s="41" t="s">
        <v>260</v>
      </c>
      <c r="N23" s="46">
        <v>39600</v>
      </c>
      <c r="O23" s="41">
        <v>17</v>
      </c>
    </row>
    <row r="24" spans="1:15" ht="20">
      <c r="A24" s="41">
        <v>22</v>
      </c>
      <c r="B24" s="40" t="s">
        <v>30</v>
      </c>
      <c r="C24" s="41" t="s">
        <v>99</v>
      </c>
      <c r="D24" s="40" t="s">
        <v>145</v>
      </c>
      <c r="E24" s="40" t="str">
        <f>VLOOKUP(D:D,[1]Data!$F:$G,2,0)</f>
        <v>Seetong</v>
      </c>
      <c r="F24" s="40" t="s">
        <v>201</v>
      </c>
      <c r="G24" s="41" t="s">
        <v>199</v>
      </c>
      <c r="H24" s="41" t="s">
        <v>29</v>
      </c>
      <c r="I24" s="41" t="s">
        <v>30</v>
      </c>
      <c r="J24" s="41" t="s">
        <v>22</v>
      </c>
      <c r="K24" s="41" t="s">
        <v>23</v>
      </c>
      <c r="L24" s="41">
        <v>56</v>
      </c>
      <c r="M24" s="41" t="s">
        <v>265</v>
      </c>
      <c r="N24" s="46">
        <v>33878</v>
      </c>
      <c r="O24" s="41">
        <v>33</v>
      </c>
    </row>
    <row r="25" spans="1:15" ht="20">
      <c r="A25" s="41">
        <v>23</v>
      </c>
      <c r="B25" s="40" t="s">
        <v>68</v>
      </c>
      <c r="C25" s="41" t="s">
        <v>99</v>
      </c>
      <c r="D25" s="40" t="s">
        <v>147</v>
      </c>
      <c r="E25" s="40" t="str">
        <f>VLOOKUP(D:D,[1]Data!$F:$G,2,0)</f>
        <v>Tongaroonsri</v>
      </c>
      <c r="F25" s="40" t="s">
        <v>202</v>
      </c>
      <c r="G25" s="41" t="s">
        <v>199</v>
      </c>
      <c r="H25" s="41" t="s">
        <v>29</v>
      </c>
      <c r="I25" s="41" t="s">
        <v>68</v>
      </c>
      <c r="J25" s="41" t="s">
        <v>22</v>
      </c>
      <c r="K25" s="41" t="s">
        <v>23</v>
      </c>
      <c r="L25" s="41">
        <v>53</v>
      </c>
      <c r="M25" s="41" t="s">
        <v>265</v>
      </c>
      <c r="N25" s="46">
        <v>35354</v>
      </c>
      <c r="O25" s="41">
        <v>29</v>
      </c>
    </row>
    <row r="26" spans="1:15" ht="20">
      <c r="A26" s="41">
        <v>24</v>
      </c>
      <c r="B26" s="40" t="s">
        <v>101</v>
      </c>
      <c r="C26" s="41" t="s">
        <v>102</v>
      </c>
      <c r="D26" s="40" t="s">
        <v>101</v>
      </c>
      <c r="E26" s="40" t="str">
        <f>VLOOKUP(D:D,[1]Data!$F:$G,2,0)</f>
        <v>Jaisung</v>
      </c>
      <c r="F26" s="40" t="s">
        <v>264</v>
      </c>
      <c r="G26" s="41" t="s">
        <v>19</v>
      </c>
      <c r="H26" s="41" t="s">
        <v>29</v>
      </c>
      <c r="I26" s="41" t="s">
        <v>68</v>
      </c>
      <c r="J26" s="41" t="s">
        <v>22</v>
      </c>
      <c r="K26" s="41" t="s">
        <v>63</v>
      </c>
      <c r="L26" s="41">
        <v>50</v>
      </c>
      <c r="M26" s="41" t="s">
        <v>265</v>
      </c>
      <c r="N26" s="46">
        <v>36404</v>
      </c>
      <c r="O26" s="41">
        <v>26</v>
      </c>
    </row>
    <row r="27" spans="1:15" ht="20">
      <c r="A27" s="41">
        <v>25</v>
      </c>
      <c r="B27" s="40" t="s">
        <v>103</v>
      </c>
      <c r="C27" s="41" t="s">
        <v>102</v>
      </c>
      <c r="D27" s="40" t="s">
        <v>104</v>
      </c>
      <c r="E27" s="40" t="s">
        <v>278</v>
      </c>
      <c r="F27" s="40" t="s">
        <v>279</v>
      </c>
      <c r="G27" s="41" t="s">
        <v>28</v>
      </c>
      <c r="H27" s="41" t="s">
        <v>188</v>
      </c>
      <c r="I27" s="41" t="s">
        <v>98</v>
      </c>
      <c r="J27" s="41" t="s">
        <v>22</v>
      </c>
      <c r="K27" s="41" t="s">
        <v>280</v>
      </c>
      <c r="L27" s="48"/>
      <c r="M27" s="41" t="s">
        <v>260</v>
      </c>
      <c r="N27" s="46">
        <v>44409</v>
      </c>
      <c r="O27" s="41">
        <v>4</v>
      </c>
    </row>
    <row r="28" spans="1:15" ht="20">
      <c r="A28" s="41">
        <v>26</v>
      </c>
      <c r="B28" s="40" t="s">
        <v>105</v>
      </c>
      <c r="C28" s="41" t="s">
        <v>102</v>
      </c>
      <c r="D28" s="40" t="s">
        <v>105</v>
      </c>
      <c r="E28" s="40" t="s">
        <v>151</v>
      </c>
      <c r="F28" s="40" t="s">
        <v>304</v>
      </c>
      <c r="G28" s="41" t="s">
        <v>28</v>
      </c>
      <c r="H28" s="41" t="s">
        <v>188</v>
      </c>
      <c r="I28" s="41" t="s">
        <v>305</v>
      </c>
      <c r="J28" s="41" t="s">
        <v>22</v>
      </c>
      <c r="K28" s="41" t="e">
        <v>#N/A</v>
      </c>
      <c r="L28" s="48"/>
      <c r="M28" s="48"/>
      <c r="N28" s="46">
        <v>37165</v>
      </c>
      <c r="O28" s="41">
        <v>24</v>
      </c>
    </row>
    <row r="29" spans="1:15" ht="20">
      <c r="A29" s="41">
        <v>27</v>
      </c>
      <c r="B29" s="40" t="s">
        <v>106</v>
      </c>
      <c r="C29" s="41" t="s">
        <v>102</v>
      </c>
      <c r="D29" s="40" t="s">
        <v>106</v>
      </c>
      <c r="E29" s="40" t="str">
        <f>VLOOKUP(D:D,[1]Data!$F:$G,2,0)</f>
        <v>Wongwekhin</v>
      </c>
      <c r="F29" s="40" t="s">
        <v>281</v>
      </c>
      <c r="G29" s="41" t="s">
        <v>28</v>
      </c>
      <c r="H29" s="41" t="s">
        <v>188</v>
      </c>
      <c r="I29" s="41" t="s">
        <v>196</v>
      </c>
      <c r="J29" s="41" t="s">
        <v>22</v>
      </c>
      <c r="K29" s="41" t="s">
        <v>46</v>
      </c>
      <c r="L29" s="41">
        <v>48</v>
      </c>
      <c r="M29" s="41" t="s">
        <v>260</v>
      </c>
      <c r="N29" s="46">
        <v>38626</v>
      </c>
      <c r="O29" s="41">
        <v>20</v>
      </c>
    </row>
    <row r="30" spans="1:15" ht="20">
      <c r="A30" s="41">
        <v>28</v>
      </c>
      <c r="B30" s="40" t="s">
        <v>107</v>
      </c>
      <c r="C30" s="41" t="s">
        <v>102</v>
      </c>
      <c r="D30" s="40" t="s">
        <v>107</v>
      </c>
      <c r="E30" s="40" t="str">
        <f>VLOOKUP(D:D,[1]Data!$F:$G,2,0)</f>
        <v>Munkongtanatip</v>
      </c>
      <c r="F30" s="40" t="s">
        <v>291</v>
      </c>
      <c r="G30" s="41" t="s">
        <v>28</v>
      </c>
      <c r="H30" s="41" t="s">
        <v>29</v>
      </c>
      <c r="I30" s="41" t="s">
        <v>68</v>
      </c>
      <c r="J30" s="41" t="s">
        <v>22</v>
      </c>
      <c r="K30" s="41" t="s">
        <v>31</v>
      </c>
      <c r="L30" s="41">
        <v>42</v>
      </c>
      <c r="M30" s="41" t="s">
        <v>260</v>
      </c>
      <c r="N30" s="46">
        <v>38808</v>
      </c>
      <c r="O30" s="41">
        <v>19</v>
      </c>
    </row>
    <row r="31" spans="1:15" ht="20">
      <c r="A31" s="41">
        <v>29</v>
      </c>
      <c r="B31" s="40" t="s">
        <v>108</v>
      </c>
      <c r="C31" s="41" t="s">
        <v>99</v>
      </c>
      <c r="D31" s="40" t="s">
        <v>108</v>
      </c>
      <c r="E31" s="40" t="str">
        <f>VLOOKUP(D:D,[1]Data!$F:$G,2,0)</f>
        <v>Kijthavornwatana</v>
      </c>
      <c r="F31" s="40" t="s">
        <v>273</v>
      </c>
      <c r="G31" s="41" t="s">
        <v>274</v>
      </c>
      <c r="H31" s="41" t="s">
        <v>29</v>
      </c>
      <c r="I31" s="41" t="s">
        <v>57</v>
      </c>
      <c r="J31" s="41" t="s">
        <v>22</v>
      </c>
      <c r="K31" s="41" t="s">
        <v>23</v>
      </c>
      <c r="L31" s="41">
        <v>48</v>
      </c>
      <c r="M31" s="41" t="s">
        <v>265</v>
      </c>
      <c r="N31" s="46">
        <v>38078</v>
      </c>
      <c r="O31" s="41">
        <v>21</v>
      </c>
    </row>
    <row r="32" spans="1:15" ht="20">
      <c r="A32" s="41">
        <v>30</v>
      </c>
      <c r="B32" s="40" t="s">
        <v>109</v>
      </c>
      <c r="C32" s="41" t="s">
        <v>102</v>
      </c>
      <c r="D32" s="40" t="s">
        <v>109</v>
      </c>
      <c r="E32" s="40" t="s">
        <v>154</v>
      </c>
      <c r="F32" s="40" t="s">
        <v>271</v>
      </c>
      <c r="G32" s="41" t="s">
        <v>28</v>
      </c>
      <c r="H32" s="41" t="s">
        <v>29</v>
      </c>
      <c r="I32" s="41" t="s">
        <v>74</v>
      </c>
      <c r="J32" s="41" t="s">
        <v>22</v>
      </c>
      <c r="K32" s="41" t="s">
        <v>63</v>
      </c>
      <c r="L32" s="48"/>
      <c r="M32" s="48"/>
      <c r="N32" s="46">
        <v>38991</v>
      </c>
      <c r="O32" s="41">
        <v>19</v>
      </c>
    </row>
    <row r="33" spans="1:15" ht="20">
      <c r="A33" s="41">
        <v>31</v>
      </c>
      <c r="B33" s="40" t="s">
        <v>110</v>
      </c>
      <c r="C33" s="41" t="s">
        <v>102</v>
      </c>
      <c r="D33" s="40" t="s">
        <v>110</v>
      </c>
      <c r="E33" s="40" t="s">
        <v>156</v>
      </c>
      <c r="F33" s="40" t="s">
        <v>259</v>
      </c>
      <c r="G33" s="41" t="s">
        <v>19</v>
      </c>
      <c r="H33" s="41" t="s">
        <v>29</v>
      </c>
      <c r="I33" s="41" t="s">
        <v>57</v>
      </c>
      <c r="J33" s="41" t="s">
        <v>22</v>
      </c>
      <c r="K33" s="41" t="s">
        <v>69</v>
      </c>
      <c r="L33" s="48"/>
      <c r="M33" s="48"/>
      <c r="N33" s="46">
        <v>38169</v>
      </c>
      <c r="O33" s="41">
        <v>21</v>
      </c>
    </row>
    <row r="34" spans="1:15" ht="20">
      <c r="A34" s="41">
        <v>32</v>
      </c>
      <c r="B34" s="40" t="s">
        <v>111</v>
      </c>
      <c r="C34" s="41" t="s">
        <v>102</v>
      </c>
      <c r="D34" s="40" t="s">
        <v>111</v>
      </c>
      <c r="E34" s="40" t="s">
        <v>174</v>
      </c>
      <c r="F34" s="40" t="s">
        <v>282</v>
      </c>
      <c r="G34" s="41" t="s">
        <v>28</v>
      </c>
      <c r="H34" s="41" t="s">
        <v>188</v>
      </c>
      <c r="I34" s="41" t="s">
        <v>196</v>
      </c>
      <c r="J34" s="41" t="s">
        <v>22</v>
      </c>
      <c r="K34" s="41" t="s">
        <v>276</v>
      </c>
      <c r="L34" s="48"/>
      <c r="M34" s="48"/>
      <c r="N34" s="46">
        <v>38976</v>
      </c>
      <c r="O34" s="41">
        <v>19</v>
      </c>
    </row>
    <row r="35" spans="1:15" ht="20">
      <c r="A35" s="41">
        <v>33</v>
      </c>
      <c r="B35" s="40" t="s">
        <v>112</v>
      </c>
      <c r="C35" s="41" t="s">
        <v>102</v>
      </c>
      <c r="D35" s="40" t="s">
        <v>112</v>
      </c>
      <c r="E35" s="40" t="s">
        <v>283</v>
      </c>
      <c r="F35" s="40" t="s">
        <v>264</v>
      </c>
      <c r="G35" s="41" t="s">
        <v>19</v>
      </c>
      <c r="H35" s="41" t="s">
        <v>29</v>
      </c>
      <c r="I35" s="41" t="s">
        <v>196</v>
      </c>
      <c r="J35" s="41" t="s">
        <v>22</v>
      </c>
      <c r="K35" s="41" t="s">
        <v>23</v>
      </c>
      <c r="L35" s="41">
        <v>51</v>
      </c>
      <c r="M35" s="41" t="s">
        <v>265</v>
      </c>
      <c r="N35" s="46">
        <v>35735</v>
      </c>
      <c r="O35" s="41">
        <v>28</v>
      </c>
    </row>
    <row r="36" spans="1:15" ht="20">
      <c r="A36" s="41">
        <v>34</v>
      </c>
      <c r="B36" s="40" t="s">
        <v>113</v>
      </c>
      <c r="C36" s="41" t="s">
        <v>102</v>
      </c>
      <c r="D36" s="40" t="s">
        <v>113</v>
      </c>
      <c r="E36" s="40" t="s">
        <v>176</v>
      </c>
      <c r="F36" s="40" t="s">
        <v>284</v>
      </c>
      <c r="G36" s="41" t="s">
        <v>19</v>
      </c>
      <c r="H36" s="41" t="s">
        <v>188</v>
      </c>
      <c r="I36" s="41" t="s">
        <v>192</v>
      </c>
      <c r="J36" s="41" t="s">
        <v>22</v>
      </c>
      <c r="K36" s="41" t="s">
        <v>69</v>
      </c>
      <c r="L36" s="48"/>
      <c r="M36" s="48"/>
      <c r="N36" s="46">
        <v>45474</v>
      </c>
      <c r="O36" s="41">
        <v>1</v>
      </c>
    </row>
    <row r="37" spans="1:15" ht="20">
      <c r="A37" s="41">
        <v>35</v>
      </c>
      <c r="B37" s="40" t="s">
        <v>114</v>
      </c>
      <c r="C37" s="41" t="s">
        <v>102</v>
      </c>
      <c r="D37" s="40" t="s">
        <v>114</v>
      </c>
      <c r="E37" s="40" t="s">
        <v>285</v>
      </c>
      <c r="F37" s="40" t="s">
        <v>286</v>
      </c>
      <c r="G37" s="41" t="s">
        <v>19</v>
      </c>
      <c r="H37" s="41" t="s">
        <v>188</v>
      </c>
      <c r="I37" s="41" t="s">
        <v>98</v>
      </c>
      <c r="J37" s="41" t="s">
        <v>22</v>
      </c>
      <c r="K37" s="41" t="s">
        <v>75</v>
      </c>
      <c r="L37" s="48"/>
      <c r="M37" s="48"/>
      <c r="N37" s="46">
        <v>44562</v>
      </c>
      <c r="O37" s="41">
        <v>4</v>
      </c>
    </row>
    <row r="38" spans="1:15">
      <c r="A38" s="41">
        <v>36</v>
      </c>
      <c r="J38" s="41" t="s">
        <v>22</v>
      </c>
    </row>
    <row r="39" spans="1:15">
      <c r="A39" s="41">
        <v>37</v>
      </c>
      <c r="J39" s="41" t="s">
        <v>22</v>
      </c>
    </row>
    <row r="40" spans="1:15">
      <c r="A40" s="41">
        <v>38</v>
      </c>
      <c r="J40" s="41" t="s">
        <v>22</v>
      </c>
    </row>
    <row r="41" spans="1:15">
      <c r="A41" s="41">
        <v>39</v>
      </c>
      <c r="J41" s="41" t="s">
        <v>22</v>
      </c>
    </row>
    <row r="42" spans="1:15">
      <c r="A42" s="41">
        <v>40</v>
      </c>
      <c r="J42" s="41" t="s">
        <v>22</v>
      </c>
    </row>
  </sheetData>
  <autoFilter ref="A2:O42" xr:uid="{4481511D-5227-4F51-9648-55D4C99ED6F1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5ed1f1-e556-4784-9d20-9dada7517e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55C981BD86B4A950C40FACF9BE1DF" ma:contentTypeVersion="15" ma:contentTypeDescription="Create a new document." ma:contentTypeScope="" ma:versionID="9516aa0e2bc980ff57c2f4ab4206afb5">
  <xsd:schema xmlns:xsd="http://www.w3.org/2001/XMLSchema" xmlns:xs="http://www.w3.org/2001/XMLSchema" xmlns:p="http://schemas.microsoft.com/office/2006/metadata/properties" xmlns:ns2="6b059ccd-33fe-4c06-98a1-37feb2d8dc27" xmlns:ns3="bb5ed1f1-e556-4784-9d20-9dada7517e09" targetNamespace="http://schemas.microsoft.com/office/2006/metadata/properties" ma:root="true" ma:fieldsID="c8e82097105b68235537c8ee685c790b" ns2:_="" ns3:_="">
    <xsd:import namespace="6b059ccd-33fe-4c06-98a1-37feb2d8dc27"/>
    <xsd:import namespace="bb5ed1f1-e556-4784-9d20-9dada7517e0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59ccd-33fe-4c06-98a1-37feb2d8dc2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ed1f1-e556-4784-9d20-9dada7517e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f48ed1c-cce2-42e9-bf64-363c7063fa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9FB28B-0A34-4FFC-97ED-66376F974AA5}">
  <ds:schemaRefs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bb5ed1f1-e556-4784-9d20-9dada7517e09"/>
    <ds:schemaRef ds:uri="http://schemas.microsoft.com/office/2006/documentManagement/types"/>
    <ds:schemaRef ds:uri="http://schemas.microsoft.com/office/infopath/2007/PartnerControls"/>
    <ds:schemaRef ds:uri="6b059ccd-33fe-4c06-98a1-37feb2d8dc2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CDDD99B-9996-4D97-9D34-245300757B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6C004D-08AC-464B-8FFF-826D03D01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059ccd-33fe-4c06-98a1-37feb2d8dc27"/>
    <ds:schemaRef ds:uri="bb5ed1f1-e556-4784-9d20-9dada7517e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Onboard Seating</vt:lpstr>
      <vt:lpstr>Full Namelist JRP</vt:lpstr>
      <vt:lpstr>Smart Communication</vt:lpstr>
      <vt:lpstr>Namelist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Prapavadee Kanasuwan</dc:creator>
  <cp:keywords/>
  <dc:description/>
  <cp:lastModifiedBy>Thanakrit Nimidhathai</cp:lastModifiedBy>
  <cp:revision/>
  <dcterms:created xsi:type="dcterms:W3CDTF">2026-01-08T03:52:28Z</dcterms:created>
  <dcterms:modified xsi:type="dcterms:W3CDTF">2026-06-05T06:36:52Z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0x01010041755C981BD86B4A950C40FACF9BE1DF</vt:lpwstr>
  </property>
  <property fmtid="{D5CDD505-2E9C-101B-9397-08002B2CF9AE}" pid="3" name="MediaServiceImageTags">
    <vt:lpwstr/>
  </property>
</Properties>
</file>